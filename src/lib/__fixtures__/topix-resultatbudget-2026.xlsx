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2026" sheetId="1" state="visible" r:id="rId3"/>
    <sheet name="Forudsætninger" sheetId="2" state="visible" r:id="rId4"/>
    <sheet name="Periodisering" sheetId="3" state="visible" r:id="rId5"/>
    <sheet name="Omsætning" sheetId="4" state="visible" r:id="rId6"/>
    <sheet name="Omkostning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<sst xmlns="http://schemas.openxmlformats.org/spreadsheetml/2006/main" count="319" uniqueCount="233">
  <si>
    <t xml:space="preserve">Topix.dk ApS — Budget 2026</t>
  </si>
  <si>
    <t xml:space="preserve">Resultatopgørelse. Jan–jul = faktiske tal, aug–dec = budget. Alle beløb i DKK ekskl. moms. Forudbetalte forløb er periodiseret over aftaleperioden.</t>
  </si>
  <si>
    <t xml:space="preserve">FAKTISK</t>
  </si>
  <si>
    <t xml:space="preserve">BUDGET</t>
  </si>
  <si>
    <t xml:space="preserve">Jan</t>
  </si>
  <si>
    <t xml:space="preserve">Feb</t>
  </si>
  <si>
    <t xml:space="preserve">Mar</t>
  </si>
  <si>
    <t xml:space="preserve">Apr</t>
  </si>
  <si>
    <t xml:space="preserve">Maj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</si>
  <si>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</si>
  <si>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</si>
  <si>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</si>
  <si>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</si>
  <si>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</si>
  <si>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</si>
  <si>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Dec</t>
  </si>
  <si>
    <t xml:space="preserve">I alt 2026</t>
  </si>
  <si>
    <t xml:space="preserve">OMSÆTNING</t>
  </si>
  <si>
    <t xml:space="preserve">Løbende medlemsabonnement</t>
  </si>
  <si>
    <t xml:space="preserve">Periodiseret fuldbetaling — solgt i 2025</t>
  </si>
  <si>
    <t xml:space="preserve">Periodiseret fuldbetaling — solgt i 2026</t>
  </si>
  <si>
    <t xml:space="preserve">Periodiseret fuldbetaling — budgetteret nysalg</t>
  </si>
  <si>
    <t xml:space="preserve">Konsulent &amp; øvrig omsætning</t>
  </si>
  <si>
    <t xml:space="preserve">OMSÆTNING I ALT</t>
  </si>
  <si>
    <t xml:space="preserve">OMKOSTNINGER</t>
  </si>
  <si>
    <t xml:space="preserve">Direkte Omkostninger</t>
  </si>
  <si>
    <t xml:space="preserve">Salg &amp; Marketing</t>
  </si>
  <si>
    <t xml:space="preserve">Software &amp; It</t>
  </si>
  <si>
    <t xml:space="preserve">Personale</t>
  </si>
  <si>
    <t xml:space="preserve">Lokale &amp; Administration</t>
  </si>
  <si>
    <t xml:space="preserve">OMKOSTNINGER I ALT</t>
  </si>
  <si>
    <t xml:space="preserve">RESULTAT FØR SKAT</t>
  </si>
  <si>
    <t xml:space="preserve">Overskudsgrad</t>
  </si>
  <si>
    <t xml:space="preserve">Akkumuleret resultat</t>
  </si>
  <si>
    <t xml:space="preserve">NØGLETAL</t>
  </si>
  <si>
    <t xml:space="preserve">Aktive løbende medlemmer, ultimo</t>
  </si>
  <si>
    <t xml:space="preserve">MRR, ultimo (ekskl. moms)</t>
  </si>
  <si>
    <t xml:space="preserve">ARR, ultimo (MRR x 12)</t>
  </si>
  <si>
    <t xml:space="preserve">Farvekode: blå = indtastet tal · sort = formel · grøn = hentet fra andet ark · gul = styringsgreb.</t>
  </si>
  <si>
    <t xml:space="preserve">Omsætningen er periodiseret. Likviditeten afviger, fordi forudbetalte forløb indbetales på én gang — se arket Periodisering, kolonne V.</t>
  </si>
  <si>
    <t xml:space="preserve">Forudsætninger og styringsgreb. Alle beløb i DKK ekskl. moms.</t>
  </si>
  <si>
    <t xml:space="preserve">GRUNDLAG</t>
  </si>
  <si>
    <t xml:space="preserve">Faktisk periode (antal måneder med realiserede tal)</t>
  </si>
  <si>
    <t xml:space="preserve">Jan–jul 2026. Aug–dec er budget.</t>
  </si>
  <si>
    <t xml:space="preserve">Momssats</t>
  </si>
  <si>
    <t xml:space="preserve">Alle tal i modellen er ekskl. moms.</t>
  </si>
  <si>
    <t xml:space="preserve">LØBENDE MEDLEMSKAB (månedsabonnement)</t>
  </si>
  <si>
    <t xml:space="preserve">Aktive løbende medlemmer, ultimo juli 2026</t>
  </si>
  <si>
    <t xml:space="preserve">Faktisk optalt: unikke betalere i Stripe i juli.</t>
  </si>
  <si>
    <t xml:space="preserve">MRR ultimo juli 2026, ekskl. moms</t>
  </si>
  <si>
    <t xml:space="preserve">Faktisk Stripe-abonnementsomsætning juli.</t>
  </si>
  <si>
    <t xml:space="preserve">Gns. pris pr. eksisterende medlem, ekskl. moms/md</t>
  </si>
  <si>
    <t xml:space="preserve">Blandet pris: 3.500 (gl.), 4.375 (ny) og én rabataftale.</t>
  </si>
  <si>
    <t xml:space="preserve">Listepris nyt medlem, ekskl. moms/md</t>
  </si>
  <si>
    <t xml:space="preserve">Aktuel pris (5.468,75 inkl. moms).</t>
  </si>
  <si>
    <t xml:space="preserve">Nye løbende medlemmer pr. måned (aug–dec)</t>
  </si>
  <si>
    <t xml:space="preserve">ANTAGELSE. Faktisk feb–jul: 2,0 nye pr. måned.</t>
  </si>
  <si>
    <t xml:space="preserve">Opsigelser pr. måned (aug–dec)</t>
  </si>
  <si>
    <t xml:space="preserve">ANTAGELSE. Faktisk feb–jul: 1,2 opsigelser pr. måned.</t>
  </si>
  <si>
    <t xml:space="preserve">FULDBETALING (forudbetalt forløb)</t>
  </si>
  <si>
    <t xml:space="preserve">Pris pr. fuldbetaling, ekskl. moms</t>
  </si>
  <si>
    <t xml:space="preserve">62.500 inkl. moms. 2025-prisen var 30.000–40.000 ekskl. moms.</t>
  </si>
  <si>
    <t xml:space="preserve">Nye fuldbetalinger pr. måned (sep–dec)</t>
  </si>
  <si>
    <t xml:space="preserve">ANTAGELSE. Faktisk jan–aug 2026: 8 stk. = 1,0 pr. måned.</t>
  </si>
  <si>
    <t xml:space="preserve">Standard periodiseringsperiode, måneder</t>
  </si>
  <si>
    <t xml:space="preserve">Sættes pr. kontrakt i arket Periodisering, kolonne F.</t>
  </si>
  <si>
    <t xml:space="preserve">ØVRIG OMSÆTNING</t>
  </si>
  <si>
    <t xml:space="preserve">Konsulent &amp; øvrig omsætning pr. måned (aug–dec)</t>
  </si>
  <si>
    <t xml:space="preserve">ANTAGELSE. Faktisk jan–jul: 16.297 i alt = 2.328/md.</t>
  </si>
  <si>
    <t xml:space="preserve">GEBYRER</t>
  </si>
  <si>
    <t xml:space="preserve">Stripe-gebyr i pct. af Stripe-omsætning</t>
  </si>
  <si>
    <t xml:space="preserve">Faktisk jan–jul 2026: 16.058 kr. af 672.061 kr. brutto.</t>
  </si>
  <si>
    <t xml:space="preserve">NOTER TIL GRUNDDATA</t>
  </si>
  <si>
    <t xml:space="preserve">Kilder: Arkiv.xlsx (e-conomic, alle fakturaer apr. 2025 – aug. 2026), unified_payments__1_.csv (Stripe,</t>
  </si>
  <si>
    <t xml:space="preserve">hele historikken), default.csv (bankkonto 9042865505), original.csv (betalte leverandørfakturaer),</t>
  </si>
  <si>
    <t xml:space="preserve">export_2026-01-01_2026-12-31.csv (Pleo-kort).</t>
  </si>
  <si>
    <t xml:space="preserve">AFSTEMNING AF E-CONOMIC-ARKIVET:</t>
  </si>
  <si>
    <t xml:space="preserve">  · 138 fakturaer i alt. 68 af dem er testfakturaer (Jonas firma, Jonas TEST, Jonas' firma, Sebastian</t>
  </si>
  <si>
    <t xml:space="preserve">    Salinas) — de går i nul efter kreditnotaer og er holdt helt ude.</t>
  </si>
  <si>
    <t xml:space="preserve">  · 4 kunder er fuldt krediteret og indgår ikke: MD-Booking I/S, Von Sperling ApS, Smag &amp; Slægt ApS</t>
  </si>
  <si>
    <t xml:space="preserve">    og Brick Works (sidstnævnte gik i stedet på månedsabonnement fra april 2026).</t>
  </si>
  <si>
    <t xml:space="preserve">  · Netto reel fakturering: 880.915 kr. inkl. moms.</t>
  </si>
  <si>
    <t xml:space="preserve">  · Fakturaer der modsvarer en Stripe-betaling er kun talt én gang: Rally Support, Brilleværk (2025),</t>
  </si>
  <si>
    <t xml:space="preserve">    Olsen &amp; Kompagni og YKRG. De to sidste er månedsabonnementer og ligger i MRR-linjen, ikke her.</t>
  </si>
  <si>
    <t xml:space="preserve">FØLGENDE ER BEVIDST HOLDT UDE AF RESULTATOPGØRELSEN:</t>
  </si>
  <si>
    <t xml:space="preserve">  · Pleo wallet-loads, 120.000 kr. — intern overførsel. Det faktiske forbrug ligger i Pleo-linjerne.</t>
  </si>
  <si>
    <t xml:space="preserve">  · Skattestyrelsen, 40.786 kr. — vurderet som momsafregning (balancepost).</t>
  </si>
  <si>
    <t xml:space="preserve">  · Udlån til Mola Invest ApS, 30.000 kr. (18.08.2026) — balancepost.</t>
  </si>
  <si>
    <t xml:space="preserve">Løn er opgjort brutto = udbetalt nettoløn + A-skat/AM-bidrag afregnet den 10. i efterfølgende måned.</t>
  </si>
  <si>
    <t xml:space="preserve">Eventuel pension og ATP indgår ikke, hvis den ikke er betalt fra denne konto.</t>
  </si>
  <si>
    <t xml:space="preserve">Periodisering af forudbetalte forløb</t>
  </si>
  <si>
    <t xml:space="preserve">Hver kontrakt indtægtsføres lineært fra og med faktura-/betalingsmåneden. Antal måneder i kolonne F kan rettes pr. linje. Beløb ekskl. moms.</t>
  </si>
  <si>
    <t xml:space="preserve">Kunde</t>
  </si>
  <si>
    <t xml:space="preserve">Dato</t>
  </si>
  <si>
    <t xml:space="preserve">Kilde</t>
  </si>
  <si>
    <t xml:space="preserve">Beløb inkl. moms</t>
  </si>
  <si>
    <t xml:space="preserve">Beløb ekskl. moms</t>
  </si>
  <si>
    <t xml:space="preserve">Antal mdr.</t>
  </si>
  <si>
    <t xml:space="preserve">Startindeks</t>
  </si>
  <si>
    <t xml:space="preserve">Indregnet 2025</t>
  </si>
  <si>
    <t xml:space="preserve">Overført til 2027+</t>
  </si>
  <si>
    <t xml:space="preserve">SOLGT I 2025</t>
  </si>
  <si>
    <t xml:space="preserve">Wrizz ApS</t>
  </si>
  <si>
    <t xml:space="preserve">Faktura</t>
  </si>
  <si>
    <t xml:space="preserve">D.A.S. GRUPPEN A/S</t>
  </si>
  <si>
    <t xml:space="preserve">FRTFV ApS</t>
  </si>
  <si>
    <t xml:space="preserve">Friis Cykler v/Brian Friis</t>
  </si>
  <si>
    <t xml:space="preserve">CyberMinds ApS</t>
  </si>
  <si>
    <t xml:space="preserve">Insurance Partners ApS (1. faktura)</t>
  </si>
  <si>
    <t xml:space="preserve">Aqua Danmark A/S</t>
  </si>
  <si>
    <t xml:space="preserve">KJ Auto v/Per Sørig Jensen</t>
  </si>
  <si>
    <t xml:space="preserve">Box-cut.com ApS</t>
  </si>
  <si>
    <t xml:space="preserve">Regnskabsvikar ApS</t>
  </si>
  <si>
    <t xml:space="preserve">Rock it Rosie ApS</t>
  </si>
  <si>
    <t xml:space="preserve">Warburg VVS &amp; Kloak ekspres ApS</t>
  </si>
  <si>
    <t xml:space="preserve">Brilleværk ApS</t>
  </si>
  <si>
    <t xml:space="preserve">Stripe</t>
  </si>
  <si>
    <t xml:space="preserve">Line Bakke (1. faktura)</t>
  </si>
  <si>
    <t xml:space="preserve">&amp;peopl ApS</t>
  </si>
  <si>
    <t xml:space="preserve">Webcompanies (Jesper Kjerumgaard)</t>
  </si>
  <si>
    <t xml:space="preserve">Insurance Partners ApS (2. faktura)</t>
  </si>
  <si>
    <t xml:space="preserve">Stadio ApS (tidl. Wrizz ApS)</t>
  </si>
  <si>
    <t xml:space="preserve">I alt — solgt i 2025</t>
  </si>
  <si>
    <t xml:space="preserve">SOLGT I 2026</t>
  </si>
  <si>
    <t xml:space="preserve">Line Bakke (2. faktura)</t>
  </si>
  <si>
    <t xml:space="preserve">Rally Support ApS (P. H. Jacobsen)</t>
  </si>
  <si>
    <t xml:space="preserve">Din økonomiafdeling Danmark ApS</t>
  </si>
  <si>
    <t xml:space="preserve">Rezycl.com</t>
  </si>
  <si>
    <t xml:space="preserve">Ole Holdgaard</t>
  </si>
  <si>
    <t xml:space="preserve">Toft Administration ApS</t>
  </si>
  <si>
    <t xml:space="preserve">Line Almegaard ApS (3. faktura)</t>
  </si>
  <si>
    <t xml:space="preserve">Limo Group</t>
  </si>
  <si>
    <t xml:space="preserve">Warburg VVS (Christina Warburg)</t>
  </si>
  <si>
    <t xml:space="preserve">Brilleværk ApS (fornyelse)</t>
  </si>
  <si>
    <t xml:space="preserve">I alt — solgt i 2026</t>
  </si>
  <si>
    <t xml:space="preserve">BUDGETTERET NYSALG (sep–dec 2026)</t>
  </si>
  <si>
    <t xml:space="preserve">Nysalg Sep 2026</t>
  </si>
  <si>
    <t xml:space="preserve">Sep 2026</t>
  </si>
  <si>
    <t xml:space="preserve">Budget</t>
  </si>
  <si>
    <t xml:space="preserve">Nysalg Okt 2026</t>
  </si>
  <si>
    <t xml:space="preserve">Okt 2026</t>
  </si>
  <si>
    <t xml:space="preserve">Nysalg Nov 2026</t>
  </si>
  <si>
    <t xml:space="preserve">Nov 2026</t>
  </si>
  <si>
    <t xml:space="preserve">Nysalg Dec 2026</t>
  </si>
  <si>
    <t xml:space="preserve">Dec 2026</t>
  </si>
  <si>
    <t xml:space="preserve">I alt — budgetteret nysalg</t>
  </si>
  <si>
    <t xml:space="preserve">PERIODISERET OMSÆTNING I ALT</t>
  </si>
  <si>
    <t xml:space="preserve">SÅDAN LÆSES ARKET</t>
  </si>
  <si>
    <t xml:space="preserve">Kolonne F (gul) er antal måneder forløbet løber over. Standard er 12. Ret den pr. linje, hvis en aftale løber kortere eller længere.</t>
  </si>
  <si>
    <t xml:space="preserve">Kolonne G er startmåned målt i forhold til januar 2026: april 2025 = -8, januar 2026 = 1, august 2026 = 8.</t>
  </si>
  <si>
    <t xml:space="preserve">Kolonne U viser den del der hører til 2025, kolonne V den del der skubbes ind i 2027. Kun kolonnerne H–S indgår i budgettet for 2026.</t>
  </si>
  <si>
    <t xml:space="preserve">TRE FORHOLD DER SKAL BEKRÆFTES — de flytter tilsammen op mod 100.000 kr.:</t>
  </si>
  <si>
    <t xml:space="preserve">1. Insurance Partners og Wrizz/Stadio har hver TO fakturaer på 18.750 kr. (april og oktober 2025). Er det to rater på ét forløb, eller en fornyelse?</t>
  </si>
  <si>
    <t xml:space="preserve">   Er det rater: sæt oktober-linjerne til 0 måneder og hæv april-linjerne til 37.500 kr.</t>
  </si>
  <si>
    <t xml:space="preserve">2. Line Bakke / Line Almegaard har TRE fakturaer: 25.000 (sep. 2025), 12.500 (jan. 2026) og 12.500 (maj 2026) = 50.000 kr. i alt.</t>
  </si>
  <si>
    <t xml:space="preserve">   Ser ud som et forløb betalt i rater. Er det rigtigt, sæt de to sidste til 0 måneder og hæv den første til 50.000 kr.</t>
  </si>
  <si>
    <t xml:space="preserve">3. Warburg VVS optræder to gange: 50.000 kr. (juni 2025) og 18.750 kr. (juni 2026). Brilleværk ligeledes: 50.000 kr. (aug. 2025) og 25.000 kr. (aug. 2026).</t>
  </si>
  <si>
    <t xml:space="preserve">   Er de sidste fornyelser til nedsat pris, delbetalinger eller kortere forløb?</t>
  </si>
  <si>
    <t xml:space="preserve">&amp;peopl ApS på 4.312,50 kr. er medtaget som et 12-måneders forløb. Er det i stedet en engangsydelse, sættes antal måneder til 1.</t>
  </si>
  <si>
    <t xml:space="preserve">Brilleværk-fakturaen af 20.08.2026 på 25.000 kr. er endnu ikke registreret indbetalt på bankkontoen.</t>
  </si>
  <si>
    <t xml:space="preserve">For 2025-fakturaerne foreligger der ikke bankdata — det er ikke verificeret at alle er betalt.</t>
  </si>
  <si>
    <t xml:space="preserve">Omsætning 2026</t>
  </si>
  <si>
    <t xml:space="preserve">Jan–jul = faktiske tal. Aug–dec = budget. Alle beløb i DKK ekskl. moms.</t>
  </si>
  <si>
    <t xml:space="preserve">MEDLEMSBEVÆGELSE — LØBENDE ABONNEMENT</t>
  </si>
  <si>
    <t xml:space="preserve">Aktive medlemmer, primo</t>
  </si>
  <si>
    <t xml:space="preserve">Tilgang, nye medlemmer</t>
  </si>
  <si>
    <t xml:space="preserve">Afgang, opsigelser</t>
  </si>
  <si>
    <t xml:space="preserve">Aktive medlemmer, ultimo</t>
  </si>
  <si>
    <t xml:space="preserve">Faktisk jan–jul: primo januar 13 medlemmer. Tilgang = kunder med første Stripe-betaling i måneden, afgang beregnet som residual.</t>
  </si>
  <si>
    <t xml:space="preserve">Gennemsnit feb–jul: 2,0 nye og 1,2 opsigelser pr. måned. Det er grundlaget for aug–dec.</t>
  </si>
  <si>
    <t xml:space="preserve">MRR — MÅNEDLIG ABONNEMENTSOMSÆTNING</t>
  </si>
  <si>
    <t xml:space="preserve">MRR, primo</t>
  </si>
  <si>
    <t xml:space="preserve">Tilgang nye (antal x listepris)</t>
  </si>
  <si>
    <t xml:space="preserve">Afgang opsigelser (antal x gns. pris)</t>
  </si>
  <si>
    <t xml:space="preserve">MRR, ultimo</t>
  </si>
  <si>
    <t xml:space="preserve">Omsætning i alt</t>
  </si>
  <si>
    <t xml:space="preserve">Konsulent &amp; øvrig omsætning jan–jul (efter fakturadato): Rn Group 2.125 (apr.), Rn Group 6.000 + Vinhuset 6.772 (maj), 1.000 fra Stripe (jun.).</t>
  </si>
  <si>
    <t xml:space="preserve">Line Bakkes faktura af 20.01.2026 er flyttet til Periodisering, da den ser ud til at være en rate på et medlemsforløb.</t>
  </si>
  <si>
    <t xml:space="preserve">Omkostninger 2026</t>
  </si>
  <si>
    <t xml:space="preserve">Jan–jul = faktiske tal. Aug–dec = budget styret af kolonne Q. Alle beløb i DKK ekskl. moms.</t>
  </si>
  <si>
    <t xml:space="preserve">Gns./md jan–jul</t>
  </si>
  <si>
    <t xml:space="preserve">Budget/md aug–dec</t>
  </si>
  <si>
    <t xml:space="preserve">Kilde / bemærkning</t>
  </si>
  <si>
    <t xml:space="preserve">DIREKTE OMKOSTNINGER — RÅDGIVNING &amp; LEVERANCE</t>
  </si>
  <si>
    <t xml:space="preserve">Mola Partners ApS</t>
  </si>
  <si>
    <t xml:space="preserve">Bank. Største enkeltpost. Ingen betalinger i juli og august.</t>
  </si>
  <si>
    <t xml:space="preserve">Sentury ApS</t>
  </si>
  <si>
    <t xml:space="preserve">Bank.</t>
  </si>
  <si>
    <t xml:space="preserve">Oaksmond ApS</t>
  </si>
  <si>
    <t xml:space="preserve">Bank. Fast 4.375 inkl. moms/md fra april + 15.000 i marts.</t>
  </si>
  <si>
    <t xml:space="preserve">Mola Invest ApS</t>
  </si>
  <si>
    <t xml:space="preserve">Bank. Fast 3.187,50 inkl. moms/md.</t>
  </si>
  <si>
    <t xml:space="preserve">Rn Group ApS</t>
  </si>
  <si>
    <t xml:space="preserve">Bank. Engangspost. Rn Group er også kunde — skal der nettes?</t>
  </si>
  <si>
    <t xml:space="preserve">Direkte Omkostninger i alt</t>
  </si>
  <si>
    <t xml:space="preserve">SALG &amp; MARKETING</t>
  </si>
  <si>
    <t xml:space="preserve">Meta Ads</t>
  </si>
  <si>
    <t xml:space="preserve">Pleo. Meget svingende. Aug. til 22.08: 4.039 kr.</t>
  </si>
  <si>
    <t xml:space="preserve">E-mail marketing (Klaviyo)</t>
  </si>
  <si>
    <t xml:space="preserve">Pleo.</t>
  </si>
  <si>
    <t xml:space="preserve">Salg &amp; Marketing i alt</t>
  </si>
  <si>
    <t xml:space="preserve">SOFTWARE &amp; IT</t>
  </si>
  <si>
    <t xml:space="preserve">Software — verden (Lovable, Anthropic, Cloudflare m.fl.)</t>
  </si>
  <si>
    <t xml:space="preserve">Software — EU (monday.com, Google, Slack, Stape)</t>
  </si>
  <si>
    <t xml:space="preserve">Software — DK (e-conomic, Cookie Information, IEX)</t>
  </si>
  <si>
    <t xml:space="preserve">Visma e-conomic (faktura)</t>
  </si>
  <si>
    <t xml:space="preserve">Corpay-faktura 12.01.2026, ikke fundet på bankkontoen.</t>
  </si>
  <si>
    <t xml:space="preserve">Software &amp; It i alt</t>
  </si>
  <si>
    <t xml:space="preserve">PERSONALE</t>
  </si>
  <si>
    <t xml:space="preserve">Løn inkl. A-skat og AM-bidrag</t>
  </si>
  <si>
    <t xml:space="preserve">Bank: nettoløn + A-skat/AM afregnet den 10. i efterfølgende måned.</t>
  </si>
  <si>
    <t xml:space="preserve">&amp;Peopl ApS</t>
  </si>
  <si>
    <t xml:space="preserve">Bank. Uregelmæssig. &amp;peopl er også kunde (faktura sep. 2025).</t>
  </si>
  <si>
    <t xml:space="preserve">Lønsystem (Paychex)</t>
  </si>
  <si>
    <t xml:space="preserve">Personale i alt</t>
  </si>
  <si>
    <t xml:space="preserve">LOKALE &amp; ADMINISTRATION</t>
  </si>
  <si>
    <t xml:space="preserve">Floor1 I/S — kontorleje</t>
  </si>
  <si>
    <t xml:space="preserve">Bank. Fast 1.866,88 inkl. moms/md.</t>
  </si>
  <si>
    <t xml:space="preserve">Rytterkasernen 21 ApS</t>
  </si>
  <si>
    <t xml:space="preserve">Bank. Engangspost marts. Gentager den sig?</t>
  </si>
  <si>
    <t xml:space="preserve">BDO — revisor</t>
  </si>
  <si>
    <t xml:space="preserve">Bank. Årsregnskab. Kommer der flere honorarer i 2026?</t>
  </si>
  <si>
    <t xml:space="preserve">Corpay One</t>
  </si>
  <si>
    <t xml:space="preserve">Samlet Betaling</t>
  </si>
  <si>
    <t xml:space="preserve">Bank. Uidentificeret. Aug.: 3.154,42 inkl. moms.</t>
  </si>
  <si>
    <t xml:space="preserve">Diverse / udlæg</t>
  </si>
  <si>
    <t xml:space="preserve">Bank: Bs-betaling 2.058 (maj) + Pleo mad 500 (apr.) + udlæg Jonas 1.606 (aug.).</t>
  </si>
  <si>
    <t xml:space="preserve">Bankgebyrer</t>
  </si>
  <si>
    <t xml:space="preserve">Stripe-gebyrer</t>
  </si>
  <si>
    <t xml:space="preserve">Stripe. Ca. 2,39 % af Stripe-omsætningen.</t>
  </si>
  <si>
    <t xml:space="preserve">Lokale &amp; Administration i alt</t>
  </si>
  <si>
    <t xml:space="preserve">Gule celler i kolonne Q styrer budgettet for aug–dec. Kolonne P viser det faktiske månedsgennemsnit jan–jul som pejlemærke.</t>
  </si>
  <si>
    <t xml:space="preserve">Fakturaer fra danske leverandører er omregnet fra inkl. til ekskl. moms (÷1,25). Pleo-tal er nettobeløb fra Pleo-eksporten.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</si>
</sst>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%"/>
    <numFmt numFmtId="168" formatCode="#,##0.00;\(#,##0.00\);\-"/>
    <numFmt numFmtId="169" formatCode="0.00%"/>
    <numFmt numFmtId="170" formatCode="dd\-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  <c r="I3" s="3" t="s">
        <v>3</v>
      </c>
      <c r="J3" s="3"/>
      <c r="K3" s="3"/>
      <c r="L3" s="3"/>
      <c r="M3" s="3"/>
    </row>
    <row r="4" customFormat="false" ht="15" hidden="false" customHeight="false" outlineLevel="0" collapsed="false"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6" customFormat="false" ht="15" hidden="false" customHeight="false" outlineLevel="0" collapsed="false">
      <c r="A6" s="5" t="s">
        <v>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7" t="s">
        <v>18</v>
      </c>
      <c r="B7" s="8" t="n">
        <f aca="false">Omsætning!B21</f>
        <v>43030.56</v>
      </c>
      <c r="C7" s="8" t="n">
        <f aca="false">Omsætning!C21</f>
        <v>50030.56</v>
      </c>
      <c r="D7" s="8" t="n">
        <f aca="false">Omsætning!D21</f>
        <v>63000</v>
      </c>
      <c r="E7" s="8" t="n">
        <f aca="false">Omsætning!E21</f>
        <v>70875</v>
      </c>
      <c r="F7" s="8" t="n">
        <f aca="false">Omsætning!F21</f>
        <v>70437.5</v>
      </c>
      <c r="G7" s="8" t="n">
        <f aca="false">Omsætning!G21</f>
        <v>70437.5</v>
      </c>
      <c r="H7" s="8" t="n">
        <f aca="false">Omsætning!H21</f>
        <v>63437.5</v>
      </c>
      <c r="I7" s="8" t="n">
        <f aca="false">Omsætning!I21</f>
        <v>68663.1944444444</v>
      </c>
      <c r="J7" s="8" t="n">
        <f aca="false">Omsætning!J21</f>
        <v>73799.3421052632</v>
      </c>
      <c r="K7" s="8" t="n">
        <f aca="false">Omsætning!K21</f>
        <v>78859.375</v>
      </c>
      <c r="L7" s="8" t="n">
        <f aca="false">Omsætning!L21</f>
        <v>83854.1666666667</v>
      </c>
      <c r="M7" s="8" t="n">
        <f aca="false">Omsætning!M21</f>
        <v>88792.6136363636</v>
      </c>
      <c r="N7" s="9" t="n">
        <f aca="false">SUM(B7:M7)</f>
        <v>825217.311852738</v>
      </c>
    </row>
    <row r="8" customFormat="false" ht="15" hidden="false" customHeight="false" outlineLevel="0" collapsed="false">
      <c r="A8" s="7" t="s">
        <v>19</v>
      </c>
      <c r="B8" s="8" t="n">
        <f aca="false">Omsætning!B22</f>
        <v>38620.8333333333</v>
      </c>
      <c r="C8" s="8" t="n">
        <f aca="false">Omsætning!C22</f>
        <v>38620.8333333333</v>
      </c>
      <c r="D8" s="8" t="n">
        <f aca="false">Omsætning!D22</f>
        <v>38620.8333333333</v>
      </c>
      <c r="E8" s="8" t="n">
        <f aca="false">Omsætning!E22</f>
        <v>20287.5</v>
      </c>
      <c r="F8" s="8" t="n">
        <f aca="false">Omsætning!F22</f>
        <v>14454.1666666667</v>
      </c>
      <c r="G8" s="8" t="n">
        <f aca="false">Omsætning!G22</f>
        <v>11120.8333333333</v>
      </c>
      <c r="H8" s="8" t="n">
        <f aca="false">Omsætning!H22</f>
        <v>11120.8333333333</v>
      </c>
      <c r="I8" s="8" t="n">
        <f aca="false">Omsætning!I22</f>
        <v>7787.5</v>
      </c>
      <c r="J8" s="8" t="n">
        <f aca="false">Omsætning!J22</f>
        <v>5833.33333333333</v>
      </c>
      <c r="K8" s="8" t="n">
        <f aca="false">Omsætning!K22</f>
        <v>0</v>
      </c>
      <c r="L8" s="8" t="n">
        <f aca="false">Omsætning!L22</f>
        <v>0</v>
      </c>
      <c r="M8" s="8" t="n">
        <f aca="false">Omsætning!M22</f>
        <v>0</v>
      </c>
      <c r="N8" s="9" t="n">
        <f aca="false">SUM(B8:M8)</f>
        <v>186466.666666667</v>
      </c>
    </row>
    <row r="9" customFormat="false" ht="15" hidden="false" customHeight="false" outlineLevel="0" collapsed="false">
      <c r="A9" s="7" t="s">
        <v>20</v>
      </c>
      <c r="B9" s="8" t="n">
        <f aca="false">Omsætning!B23</f>
        <v>4166.66666666667</v>
      </c>
      <c r="C9" s="8" t="n">
        <f aca="false">Omsætning!C23</f>
        <v>7500</v>
      </c>
      <c r="D9" s="8" t="n">
        <f aca="false">Omsætning!D23</f>
        <v>10417.5</v>
      </c>
      <c r="E9" s="8" t="n">
        <f aca="false">Omsætning!E23</f>
        <v>10417.5</v>
      </c>
      <c r="F9" s="8" t="n">
        <f aca="false">Omsætning!F23</f>
        <v>19584.1666666667</v>
      </c>
      <c r="G9" s="8" t="n">
        <f aca="false">Omsætning!G23</f>
        <v>25000.8333333333</v>
      </c>
      <c r="H9" s="8" t="n">
        <f aca="false">Omsætning!H23</f>
        <v>25000.8333333333</v>
      </c>
      <c r="I9" s="8" t="n">
        <f aca="false">Omsætning!I23</f>
        <v>26667.5</v>
      </c>
      <c r="J9" s="8" t="n">
        <f aca="false">Omsætning!J23</f>
        <v>26667.5</v>
      </c>
      <c r="K9" s="8" t="n">
        <f aca="false">Omsætning!K23</f>
        <v>26667.5</v>
      </c>
      <c r="L9" s="8" t="n">
        <f aca="false">Omsætning!L23</f>
        <v>26667.5</v>
      </c>
      <c r="M9" s="8" t="n">
        <f aca="false">Omsætning!M23</f>
        <v>26667.5</v>
      </c>
      <c r="N9" s="9" t="n">
        <f aca="false">SUM(B9:M9)</f>
        <v>235425</v>
      </c>
    </row>
    <row r="10" customFormat="false" ht="15" hidden="false" customHeight="false" outlineLevel="0" collapsed="false">
      <c r="A10" s="7" t="s">
        <v>21</v>
      </c>
      <c r="B10" s="8" t="n">
        <f aca="false">Omsætning!B24</f>
        <v>0</v>
      </c>
      <c r="C10" s="8" t="n">
        <f aca="false">Omsætning!C24</f>
        <v>0</v>
      </c>
      <c r="D10" s="8" t="n">
        <f aca="false">Omsætning!D24</f>
        <v>0</v>
      </c>
      <c r="E10" s="8" t="n">
        <f aca="false">Omsætning!E24</f>
        <v>0</v>
      </c>
      <c r="F10" s="8" t="n">
        <f aca="false">Omsætning!F24</f>
        <v>0</v>
      </c>
      <c r="G10" s="8" t="n">
        <f aca="false">Omsætning!G24</f>
        <v>0</v>
      </c>
      <c r="H10" s="8" t="n">
        <f aca="false">Omsætning!H24</f>
        <v>0</v>
      </c>
      <c r="I10" s="8" t="n">
        <f aca="false">Omsætning!I24</f>
        <v>0</v>
      </c>
      <c r="J10" s="8" t="n">
        <f aca="false">Omsætning!J24</f>
        <v>4166.66666666667</v>
      </c>
      <c r="K10" s="8" t="n">
        <f aca="false">Omsætning!K24</f>
        <v>8333.33333333333</v>
      </c>
      <c r="L10" s="8" t="n">
        <f aca="false">Omsætning!L24</f>
        <v>12500</v>
      </c>
      <c r="M10" s="8" t="n">
        <f aca="false">Omsætning!M24</f>
        <v>16666.6666666667</v>
      </c>
      <c r="N10" s="9" t="n">
        <f aca="false">SUM(B10:M10)</f>
        <v>41666.6666666667</v>
      </c>
    </row>
    <row r="11" customFormat="false" ht="15" hidden="false" customHeight="false" outlineLevel="0" collapsed="false">
      <c r="A11" s="7" t="s">
        <v>22</v>
      </c>
      <c r="B11" s="8" t="n">
        <f aca="false">Omsætning!B25</f>
        <v>0</v>
      </c>
      <c r="C11" s="8" t="n">
        <f aca="false">Omsætning!C25</f>
        <v>0</v>
      </c>
      <c r="D11" s="8" t="n">
        <f aca="false">Omsætning!D25</f>
        <v>0</v>
      </c>
      <c r="E11" s="8" t="n">
        <f aca="false">Omsætning!E25</f>
        <v>2525</v>
      </c>
      <c r="F11" s="8" t="n">
        <f aca="false">Omsætning!F25</f>
        <v>12772.24</v>
      </c>
      <c r="G11" s="8" t="n">
        <f aca="false">Omsætning!G25</f>
        <v>1000</v>
      </c>
      <c r="H11" s="8" t="n">
        <f aca="false">Omsætning!H25</f>
        <v>0</v>
      </c>
      <c r="I11" s="8" t="n">
        <f aca="false">Omsætning!I25</f>
        <v>2500</v>
      </c>
      <c r="J11" s="8" t="n">
        <f aca="false">Omsætning!J25</f>
        <v>2500</v>
      </c>
      <c r="K11" s="8" t="n">
        <f aca="false">Omsætning!K25</f>
        <v>2500</v>
      </c>
      <c r="L11" s="8" t="n">
        <f aca="false">Omsætning!L25</f>
        <v>2500</v>
      </c>
      <c r="M11" s="8" t="n">
        <f aca="false">Omsætning!M25</f>
        <v>2500</v>
      </c>
      <c r="N11" s="9" t="n">
        <f aca="false">SUM(B11:M11)</f>
        <v>28797.24</v>
      </c>
    </row>
    <row r="12" customFormat="false" ht="15" hidden="false" customHeight="false" outlineLevel="0" collapsed="false">
      <c r="A12" s="10" t="s">
        <v>23</v>
      </c>
      <c r="B12" s="11" t="n">
        <f aca="false">SUM(B7:B11)</f>
        <v>85818.06</v>
      </c>
      <c r="C12" s="11" t="n">
        <f aca="false">SUM(C7:C11)</f>
        <v>96151.3933333333</v>
      </c>
      <c r="D12" s="11" t="n">
        <f aca="false">SUM(D7:D11)</f>
        <v>112038.333333333</v>
      </c>
      <c r="E12" s="11" t="n">
        <f aca="false">SUM(E7:E11)</f>
        <v>104105</v>
      </c>
      <c r="F12" s="11" t="n">
        <f aca="false">SUM(F7:F11)</f>
        <v>117248.073333333</v>
      </c>
      <c r="G12" s="11" t="n">
        <f aca="false">SUM(G7:G11)</f>
        <v>107559.166666667</v>
      </c>
      <c r="H12" s="11" t="n">
        <f aca="false">SUM(H7:H11)</f>
        <v>99559.1666666667</v>
      </c>
      <c r="I12" s="11" t="n">
        <f aca="false">SUM(I7:I11)</f>
        <v>105618.194444444</v>
      </c>
      <c r="J12" s="11" t="n">
        <f aca="false">SUM(J7:J11)</f>
        <v>112966.842105263</v>
      </c>
      <c r="K12" s="11" t="n">
        <f aca="false">SUM(K7:K11)</f>
        <v>116360.208333333</v>
      </c>
      <c r="L12" s="11" t="n">
        <f aca="false">SUM(L7:L11)</f>
        <v>125521.666666667</v>
      </c>
      <c r="M12" s="11" t="n">
        <f aca="false">SUM(M7:M11)</f>
        <v>134626.78030303</v>
      </c>
      <c r="N12" s="11" t="n">
        <f aca="false">SUM(B12:M12)</f>
        <v>1317572.88518607</v>
      </c>
    </row>
    <row r="14" customFormat="false" ht="15" hidden="false" customHeight="false" outlineLevel="0" collapsed="false">
      <c r="A14" s="5" t="s">
        <v>24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7" t="s">
        <v>25</v>
      </c>
      <c r="B15" s="8" t="n">
        <f aca="false">Omkostninger!B11</f>
        <v>32100</v>
      </c>
      <c r="C15" s="8" t="n">
        <f aca="false">Omkostninger!C11</f>
        <v>59800</v>
      </c>
      <c r="D15" s="8" t="n">
        <f aca="false">Omkostninger!D11</f>
        <v>65280.64</v>
      </c>
      <c r="E15" s="8" t="n">
        <f aca="false">Omkostninger!E11</f>
        <v>26250</v>
      </c>
      <c r="F15" s="8" t="n">
        <f aca="false">Omkostninger!F11</f>
        <v>12525</v>
      </c>
      <c r="G15" s="8" t="n">
        <f aca="false">Omkostninger!G11</f>
        <v>74690</v>
      </c>
      <c r="H15" s="8" t="n">
        <f aca="false">Omkostninger!H11</f>
        <v>22325</v>
      </c>
      <c r="I15" s="8" t="n">
        <f aca="false">Omkostninger!I11</f>
        <v>41888</v>
      </c>
      <c r="J15" s="8" t="n">
        <f aca="false">Omkostninger!J11</f>
        <v>41888</v>
      </c>
      <c r="K15" s="8" t="n">
        <f aca="false">Omkostninger!K11</f>
        <v>41888</v>
      </c>
      <c r="L15" s="8" t="n">
        <f aca="false">Omkostninger!L11</f>
        <v>41888</v>
      </c>
      <c r="M15" s="8" t="n">
        <f aca="false">Omkostninger!M11</f>
        <v>41888</v>
      </c>
      <c r="N15" s="9" t="n">
        <f aca="false">SUM(B15:M15)</f>
        <v>502410.64</v>
      </c>
    </row>
    <row r="16" customFormat="false" ht="15" hidden="false" customHeight="false" outlineLevel="0" collapsed="false">
      <c r="A16" s="7" t="s">
        <v>26</v>
      </c>
      <c r="B16" s="8" t="n">
        <f aca="false">Omkostninger!B16</f>
        <v>421.92</v>
      </c>
      <c r="C16" s="8" t="n">
        <f aca="false">Omkostninger!C16</f>
        <v>5175.33</v>
      </c>
      <c r="D16" s="8" t="n">
        <f aca="false">Omkostninger!D16</f>
        <v>546.11</v>
      </c>
      <c r="E16" s="8" t="n">
        <f aca="false">Omkostninger!E16</f>
        <v>6170.52</v>
      </c>
      <c r="F16" s="8" t="n">
        <f aca="false">Omkostninger!F16</f>
        <v>19506.94</v>
      </c>
      <c r="G16" s="8" t="n">
        <f aca="false">Omkostninger!G16</f>
        <v>14828.16</v>
      </c>
      <c r="H16" s="8" t="n">
        <f aca="false">Omkostninger!H16</f>
        <v>2023.42</v>
      </c>
      <c r="I16" s="8" t="n">
        <f aca="false">Omkostninger!I16</f>
        <v>6954</v>
      </c>
      <c r="J16" s="8" t="n">
        <f aca="false">Omkostninger!J16</f>
        <v>6954</v>
      </c>
      <c r="K16" s="8" t="n">
        <f aca="false">Omkostninger!K16</f>
        <v>6954</v>
      </c>
      <c r="L16" s="8" t="n">
        <f aca="false">Omkostninger!L16</f>
        <v>6954</v>
      </c>
      <c r="M16" s="8" t="n">
        <f aca="false">Omkostninger!M16</f>
        <v>6954</v>
      </c>
      <c r="N16" s="9" t="n">
        <f aca="false">SUM(B16:M16)</f>
        <v>83442.4</v>
      </c>
    </row>
    <row r="17" customFormat="false" ht="15" hidden="false" customHeight="false" outlineLevel="0" collapsed="false">
      <c r="A17" s="7" t="s">
        <v>27</v>
      </c>
      <c r="B17" s="8" t="n">
        <f aca="false">Omkostninger!B23</f>
        <v>10175.51</v>
      </c>
      <c r="C17" s="8" t="n">
        <f aca="false">Omkostninger!C23</f>
        <v>7739.56</v>
      </c>
      <c r="D17" s="8" t="n">
        <f aca="false">Omkostninger!D23</f>
        <v>7760.85</v>
      </c>
      <c r="E17" s="8" t="n">
        <f aca="false">Omkostninger!E23</f>
        <v>7862.9</v>
      </c>
      <c r="F17" s="8" t="n">
        <f aca="false">Omkostninger!F23</f>
        <v>1988.76</v>
      </c>
      <c r="G17" s="8" t="n">
        <f aca="false">Omkostninger!G23</f>
        <v>5055.42</v>
      </c>
      <c r="H17" s="8" t="n">
        <f aca="false">Omkostninger!H23</f>
        <v>4116.24</v>
      </c>
      <c r="I17" s="8" t="n">
        <f aca="false">Omkostninger!I23</f>
        <v>6108</v>
      </c>
      <c r="J17" s="8" t="n">
        <f aca="false">Omkostninger!J23</f>
        <v>6108</v>
      </c>
      <c r="K17" s="8" t="n">
        <f aca="false">Omkostninger!K23</f>
        <v>6108</v>
      </c>
      <c r="L17" s="8" t="n">
        <f aca="false">Omkostninger!L23</f>
        <v>6108</v>
      </c>
      <c r="M17" s="8" t="n">
        <f aca="false">Omkostninger!M23</f>
        <v>6108</v>
      </c>
      <c r="N17" s="9" t="n">
        <f aca="false">SUM(B17:M17)</f>
        <v>75239.24</v>
      </c>
    </row>
    <row r="18" customFormat="false" ht="15" hidden="false" customHeight="false" outlineLevel="0" collapsed="false">
      <c r="A18" s="7" t="s">
        <v>28</v>
      </c>
      <c r="B18" s="8" t="n">
        <f aca="false">Omkostninger!B29</f>
        <v>26436.8</v>
      </c>
      <c r="C18" s="8" t="n">
        <f aca="false">Omkostninger!C29</f>
        <v>29901</v>
      </c>
      <c r="D18" s="8" t="n">
        <f aca="false">Omkostninger!D29</f>
        <v>25379.89</v>
      </c>
      <c r="E18" s="8" t="n">
        <f aca="false">Omkostninger!E29</f>
        <v>38941.43</v>
      </c>
      <c r="F18" s="8" t="n">
        <f aca="false">Omkostninger!F29</f>
        <v>19926</v>
      </c>
      <c r="G18" s="8" t="n">
        <f aca="false">Omkostninger!G29</f>
        <v>36475.21</v>
      </c>
      <c r="H18" s="8" t="n">
        <f aca="false">Omkostninger!H29</f>
        <v>41558.74</v>
      </c>
      <c r="I18" s="8" t="n">
        <f aca="false">Omkostninger!I29</f>
        <v>31238</v>
      </c>
      <c r="J18" s="8" t="n">
        <f aca="false">Omkostninger!J29</f>
        <v>31238</v>
      </c>
      <c r="K18" s="8" t="n">
        <f aca="false">Omkostninger!K29</f>
        <v>31238</v>
      </c>
      <c r="L18" s="8" t="n">
        <f aca="false">Omkostninger!L29</f>
        <v>31238</v>
      </c>
      <c r="M18" s="8" t="n">
        <f aca="false">Omkostninger!M29</f>
        <v>31238</v>
      </c>
      <c r="N18" s="9" t="n">
        <f aca="false">SUM(B18:M18)</f>
        <v>374809.07</v>
      </c>
    </row>
    <row r="19" customFormat="false" ht="15" hidden="false" customHeight="false" outlineLevel="0" collapsed="false">
      <c r="A19" s="7" t="s">
        <v>29</v>
      </c>
      <c r="B19" s="8" t="n">
        <f aca="false">Omkostninger!B40</f>
        <v>4474.74</v>
      </c>
      <c r="C19" s="8" t="n">
        <f aca="false">Omkostninger!C40</f>
        <v>4292.61</v>
      </c>
      <c r="D19" s="8" t="n">
        <f aca="false">Omkostninger!D40</f>
        <v>25291.83</v>
      </c>
      <c r="E19" s="8" t="n">
        <f aca="false">Omkostninger!E40</f>
        <v>4144.24</v>
      </c>
      <c r="F19" s="8" t="n">
        <f aca="false">Omkostninger!F40</f>
        <v>6847.25</v>
      </c>
      <c r="G19" s="8" t="n">
        <f aca="false">Omkostninger!G40</f>
        <v>4241.44</v>
      </c>
      <c r="H19" s="8" t="n">
        <f aca="false">Omkostninger!H40</f>
        <v>3486.66</v>
      </c>
      <c r="I19" s="8" t="n">
        <f aca="false">Omkostninger!I40</f>
        <v>4371</v>
      </c>
      <c r="J19" s="8" t="n">
        <f aca="false">Omkostninger!J40</f>
        <v>4371</v>
      </c>
      <c r="K19" s="8" t="n">
        <f aca="false">Omkostninger!K40</f>
        <v>4371</v>
      </c>
      <c r="L19" s="8" t="n">
        <f aca="false">Omkostninger!L40</f>
        <v>4371</v>
      </c>
      <c r="M19" s="8" t="n">
        <f aca="false">Omkostninger!M40</f>
        <v>4371</v>
      </c>
      <c r="N19" s="9" t="n">
        <f aca="false">SUM(B19:M19)</f>
        <v>74633.77</v>
      </c>
    </row>
    <row r="20" customFormat="false" ht="15" hidden="false" customHeight="false" outlineLevel="0" collapsed="false">
      <c r="A20" s="10" t="s">
        <v>30</v>
      </c>
      <c r="B20" s="11" t="n">
        <f aca="false">B15+B16+B17+B18+B19</f>
        <v>73608.97</v>
      </c>
      <c r="C20" s="11" t="n">
        <f aca="false">C15+C16+C17+C18+C19</f>
        <v>106908.5</v>
      </c>
      <c r="D20" s="11" t="n">
        <f aca="false">D15+D16+D17+D18+D19</f>
        <v>124259.32</v>
      </c>
      <c r="E20" s="11" t="n">
        <f aca="false">E15+E16+E17+E18+E19</f>
        <v>83369.09</v>
      </c>
      <c r="F20" s="11" t="n">
        <f aca="false">F15+F16+F17+F18+F19</f>
        <v>60793.95</v>
      </c>
      <c r="G20" s="11" t="n">
        <f aca="false">G15+G16+G17+G18+G19</f>
        <v>135290.23</v>
      </c>
      <c r="H20" s="11" t="n">
        <f aca="false">H15+H16+H17+H18+H19</f>
        <v>73510.06</v>
      </c>
      <c r="I20" s="11" t="n">
        <f aca="false">I15+I16+I17+I18+I19</f>
        <v>90559</v>
      </c>
      <c r="J20" s="11" t="n">
        <f aca="false">J15+J16+J17+J18+J19</f>
        <v>90559</v>
      </c>
      <c r="K20" s="11" t="n">
        <f aca="false">K15+K16+K17+K18+K19</f>
        <v>90559</v>
      </c>
      <c r="L20" s="11" t="n">
        <f aca="false">L15+L16+L17+L18+L19</f>
        <v>90559</v>
      </c>
      <c r="M20" s="11" t="n">
        <f aca="false">M15+M16+M17+M18+M19</f>
        <v>90559</v>
      </c>
      <c r="N20" s="11" t="n">
        <f aca="false">SUM(B20:M20)</f>
        <v>1110535.12</v>
      </c>
    </row>
    <row r="22" customFormat="false" ht="15" hidden="false" customHeight="false" outlineLevel="0" collapsed="false">
      <c r="A22" s="12" t="s">
        <v>31</v>
      </c>
      <c r="B22" s="13" t="n">
        <f aca="false">B12-B20</f>
        <v>12209.09</v>
      </c>
      <c r="C22" s="13" t="n">
        <f aca="false">C12-C20</f>
        <v>-10757.1066666667</v>
      </c>
      <c r="D22" s="13" t="n">
        <f aca="false">D12-D20</f>
        <v>-12220.9866666667</v>
      </c>
      <c r="E22" s="13" t="n">
        <f aca="false">E12-E20</f>
        <v>20735.91</v>
      </c>
      <c r="F22" s="13" t="n">
        <f aca="false">F12-F20</f>
        <v>56454.1233333334</v>
      </c>
      <c r="G22" s="13" t="n">
        <f aca="false">G12-G20</f>
        <v>-27731.0633333333</v>
      </c>
      <c r="H22" s="13" t="n">
        <f aca="false">H12-H20</f>
        <v>26049.1066666667</v>
      </c>
      <c r="I22" s="13" t="n">
        <f aca="false">I12-I20</f>
        <v>15059.1944444444</v>
      </c>
      <c r="J22" s="13" t="n">
        <f aca="false">J12-J20</f>
        <v>22407.8421052631</v>
      </c>
      <c r="K22" s="13" t="n">
        <f aca="false">K12-K20</f>
        <v>25801.2083333333</v>
      </c>
      <c r="L22" s="13" t="n">
        <f aca="false">L12-L20</f>
        <v>34962.6666666667</v>
      </c>
      <c r="M22" s="13" t="n">
        <f aca="false">M12-M20</f>
        <v>44067.7803030303</v>
      </c>
      <c r="N22" s="13" t="n">
        <f aca="false">SUM(B22:M22)</f>
        <v>207037.765186071</v>
      </c>
    </row>
    <row r="23" customFormat="false" ht="15" hidden="false" customHeight="false" outlineLevel="0" collapsed="false">
      <c r="A23" s="7" t="s">
        <v>32</v>
      </c>
      <c r="B23" s="14" t="n">
        <f aca="false">IF(B12=0,0,B22/B12)</f>
        <v>0.142267140506322</v>
      </c>
      <c r="C23" s="14" t="n">
        <f aca="false">IF(C12=0,0,C22/C12)</f>
        <v>-0.111876763234979</v>
      </c>
      <c r="D23" s="14" t="n">
        <f aca="false">IF(D12=0,0,D22/D12)</f>
        <v>-0.10907861892507</v>
      </c>
      <c r="E23" s="14" t="n">
        <f aca="false">IF(E12=0,0,E22/E12)</f>
        <v>0.199182652130061</v>
      </c>
      <c r="F23" s="14" t="n">
        <f aca="false">IF(F12=0,0,F22/F12)</f>
        <v>0.481492972364976</v>
      </c>
      <c r="G23" s="14" t="n">
        <f aca="false">IF(G12=0,0,G22/G12)</f>
        <v>-0.2578214781012</v>
      </c>
      <c r="H23" s="14" t="n">
        <f aca="false">IF(H12=0,0,H22/H12)</f>
        <v>0.261644482761507</v>
      </c>
      <c r="I23" s="14" t="n">
        <f aca="false">IF(I12=0,0,I22/I12)</f>
        <v>0.142581441802299</v>
      </c>
      <c r="J23" s="14" t="n">
        <f aca="false">IF(J12=0,0,J22/J12)</f>
        <v>0.198357692289773</v>
      </c>
      <c r="K23" s="14" t="n">
        <f aca="false">IF(K12=0,0,K22/K12)</f>
        <v>0.221735666366473</v>
      </c>
      <c r="L23" s="14" t="n">
        <f aca="false">IF(L12=0,0,L22/L12)</f>
        <v>0.278538897667069</v>
      </c>
      <c r="M23" s="14" t="n">
        <f aca="false">IF(M12=0,0,M22/M12)</f>
        <v>0.327332943741494</v>
      </c>
      <c r="N23" s="14" t="n">
        <f aca="false">IF(N12=0,0,N22/N12)</f>
        <v>0.157135720925854</v>
      </c>
    </row>
    <row r="24" customFormat="false" ht="15" hidden="false" customHeight="false" outlineLevel="0" collapsed="false">
      <c r="A24" s="7" t="s">
        <v>33</v>
      </c>
      <c r="B24" s="9" t="n">
        <f aca="false">B22</f>
        <v>12209.09</v>
      </c>
      <c r="C24" s="9" t="n">
        <f aca="false">B24+C22</f>
        <v>1451.98333333335</v>
      </c>
      <c r="D24" s="9" t="n">
        <f aca="false">C24+D22</f>
        <v>-10769.0033333333</v>
      </c>
      <c r="E24" s="9" t="n">
        <f aca="false">D24+E22</f>
        <v>9966.90666666668</v>
      </c>
      <c r="F24" s="9" t="n">
        <f aca="false">E24+F22</f>
        <v>66421.03</v>
      </c>
      <c r="G24" s="9" t="n">
        <f aca="false">F24+G22</f>
        <v>38689.9666666667</v>
      </c>
      <c r="H24" s="9" t="n">
        <f aca="false">G24+H22</f>
        <v>64739.0733333334</v>
      </c>
      <c r="I24" s="9" t="n">
        <f aca="false">H24+I22</f>
        <v>79798.2677777778</v>
      </c>
      <c r="J24" s="9" t="n">
        <f aca="false">I24+J22</f>
        <v>102206.109883041</v>
      </c>
      <c r="K24" s="9" t="n">
        <f aca="false">J24+K22</f>
        <v>128007.318216374</v>
      </c>
      <c r="L24" s="9" t="n">
        <f aca="false">K24+L22</f>
        <v>162969.984883041</v>
      </c>
      <c r="M24" s="9" t="n">
        <f aca="false">L24+M22</f>
        <v>207037.765186071</v>
      </c>
    </row>
    <row r="26" customFormat="false" ht="15" hidden="false" customHeight="false" outlineLevel="0" collapsed="false">
      <c r="A26" s="5" t="s">
        <v>34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7" t="s">
        <v>35</v>
      </c>
      <c r="B27" s="8" t="n">
        <f aca="false">Omsætning!B10</f>
        <v>13</v>
      </c>
      <c r="C27" s="8" t="n">
        <f aca="false">Omsætning!C10</f>
        <v>15</v>
      </c>
      <c r="D27" s="8" t="n">
        <f aca="false">Omsætning!D10</f>
        <v>17</v>
      </c>
      <c r="E27" s="8" t="n">
        <f aca="false">Omsætning!E10</f>
        <v>20</v>
      </c>
      <c r="F27" s="8" t="n">
        <f aca="false">Omsætning!F10</f>
        <v>20</v>
      </c>
      <c r="G27" s="8" t="n">
        <f aca="false">Omsætning!G10</f>
        <v>20</v>
      </c>
      <c r="H27" s="8" t="n">
        <f aca="false">Omsætning!H10</f>
        <v>18</v>
      </c>
      <c r="I27" s="8" t="n">
        <f aca="false">Omsætning!I10</f>
        <v>19</v>
      </c>
      <c r="J27" s="8" t="n">
        <f aca="false">Omsætning!J10</f>
        <v>20</v>
      </c>
      <c r="K27" s="8" t="n">
        <f aca="false">Omsætning!K10</f>
        <v>21</v>
      </c>
      <c r="L27" s="8" t="n">
        <f aca="false">Omsætning!L10</f>
        <v>22</v>
      </c>
      <c r="M27" s="8" t="n">
        <f aca="false">Omsætning!M10</f>
        <v>23</v>
      </c>
      <c r="N27" s="15" t="n">
        <f aca="false">M27</f>
        <v>23</v>
      </c>
    </row>
    <row r="28" customFormat="false" ht="15" hidden="false" customHeight="false" outlineLevel="0" collapsed="false">
      <c r="A28" s="7" t="s">
        <v>36</v>
      </c>
      <c r="B28" s="8" t="n">
        <f aca="false">Omsætning!B18</f>
        <v>43030.56</v>
      </c>
      <c r="C28" s="8" t="n">
        <f aca="false">Omsætning!C18</f>
        <v>50030.56</v>
      </c>
      <c r="D28" s="8" t="n">
        <f aca="false">Omsætning!D18</f>
        <v>63000</v>
      </c>
      <c r="E28" s="8" t="n">
        <f aca="false">Omsætning!E18</f>
        <v>70875</v>
      </c>
      <c r="F28" s="8" t="n">
        <f aca="false">Omsætning!F18</f>
        <v>70437.5</v>
      </c>
      <c r="G28" s="8" t="n">
        <f aca="false">Omsætning!G18</f>
        <v>70437.5</v>
      </c>
      <c r="H28" s="8" t="n">
        <f aca="false">Omsætning!H18</f>
        <v>63437.5</v>
      </c>
      <c r="I28" s="8" t="n">
        <f aca="false">Omsætning!I18</f>
        <v>68663.1944444444</v>
      </c>
      <c r="J28" s="8" t="n">
        <f aca="false">Omsætning!J18</f>
        <v>73799.3421052632</v>
      </c>
      <c r="K28" s="8" t="n">
        <f aca="false">Omsætning!K18</f>
        <v>78859.375</v>
      </c>
      <c r="L28" s="8" t="n">
        <f aca="false">Omsætning!L18</f>
        <v>83854.1666666667</v>
      </c>
      <c r="M28" s="8" t="n">
        <f aca="false">Omsætning!M18</f>
        <v>88792.6136363636</v>
      </c>
      <c r="N28" s="15" t="n">
        <f aca="false">M28</f>
        <v>88792.6136363636</v>
      </c>
    </row>
    <row r="29" customFormat="false" ht="15" hidden="false" customHeight="false" outlineLevel="0" collapsed="false">
      <c r="A29" s="7" t="s">
        <v>37</v>
      </c>
      <c r="B29" s="9" t="n">
        <f aca="false">B28*12</f>
        <v>516366.72</v>
      </c>
      <c r="C29" s="9" t="n">
        <f aca="false">C28*12</f>
        <v>600366.72</v>
      </c>
      <c r="D29" s="9" t="n">
        <f aca="false">D28*12</f>
        <v>756000</v>
      </c>
      <c r="E29" s="9" t="n">
        <f aca="false">E28*12</f>
        <v>850500</v>
      </c>
      <c r="F29" s="9" t="n">
        <f aca="false">F28*12</f>
        <v>845250</v>
      </c>
      <c r="G29" s="9" t="n">
        <f aca="false">G28*12</f>
        <v>845250</v>
      </c>
      <c r="H29" s="9" t="n">
        <f aca="false">H28*12</f>
        <v>761250</v>
      </c>
      <c r="I29" s="9" t="n">
        <f aca="false">I28*12</f>
        <v>823958.333333333</v>
      </c>
      <c r="J29" s="9" t="n">
        <f aca="false">J28*12</f>
        <v>885592.105263158</v>
      </c>
      <c r="K29" s="9" t="n">
        <f aca="false">K28*12</f>
        <v>946312.5</v>
      </c>
      <c r="L29" s="9" t="n">
        <f aca="false">L28*12</f>
        <v>1006250</v>
      </c>
      <c r="M29" s="9" t="n">
        <f aca="false">M28*12</f>
        <v>1065511.36363636</v>
      </c>
      <c r="N29" s="15" t="n">
        <f aca="false">M29</f>
        <v>1065511.36363636</v>
      </c>
    </row>
    <row r="31" customFormat="false" ht="15" hidden="false" customHeight="false" outlineLevel="0" collapsed="false">
      <c r="A31" s="2" t="s">
        <v>38</v>
      </c>
    </row>
    <row r="32" customFormat="false" ht="15" hidden="false" customHeight="false" outlineLevel="0" collapsed="false">
      <c r="A32" s="2" t="s">
        <v>39</v>
      </c>
    </row>
  </sheetData>
  <mergeCells count="2">
    <mergeCell ref="B3:H3"/>
    <mergeCell ref="I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5" t="s">
        <v>41</v>
      </c>
      <c r="B4" s="6"/>
      <c r="C4" s="6"/>
    </row>
    <row r="5" customFormat="false" ht="15" hidden="false" customHeight="false" outlineLevel="0" collapsed="false">
      <c r="A5" s="7" t="s">
        <v>42</v>
      </c>
      <c r="B5" s="16" t="n">
        <v>7</v>
      </c>
      <c r="C5" s="2" t="s">
        <v>43</v>
      </c>
    </row>
    <row r="6" customFormat="false" ht="15" hidden="false" customHeight="false" outlineLevel="0" collapsed="false">
      <c r="A6" s="7" t="s">
        <v>44</v>
      </c>
      <c r="B6" s="17" t="n">
        <v>0.25</v>
      </c>
      <c r="C6" s="2" t="s">
        <v>45</v>
      </c>
    </row>
    <row r="8" customFormat="false" ht="15" hidden="false" customHeight="false" outlineLevel="0" collapsed="false">
      <c r="A8" s="5" t="s">
        <v>46</v>
      </c>
      <c r="B8" s="6"/>
      <c r="C8" s="6"/>
    </row>
    <row r="9" customFormat="false" ht="15" hidden="false" customHeight="false" outlineLevel="0" collapsed="false">
      <c r="A9" s="7" t="s">
        <v>47</v>
      </c>
      <c r="B9" s="16" t="n">
        <v>18</v>
      </c>
      <c r="C9" s="2" t="s">
        <v>48</v>
      </c>
    </row>
    <row r="10" customFormat="false" ht="15" hidden="false" customHeight="false" outlineLevel="0" collapsed="false">
      <c r="A10" s="7" t="s">
        <v>49</v>
      </c>
      <c r="B10" s="18" t="n">
        <v>63437.5</v>
      </c>
      <c r="C10" s="2" t="s">
        <v>50</v>
      </c>
    </row>
    <row r="11" customFormat="false" ht="15" hidden="false" customHeight="false" outlineLevel="0" collapsed="false">
      <c r="A11" s="7" t="s">
        <v>51</v>
      </c>
      <c r="B11" s="19" t="n">
        <f aca="false">B10/B9</f>
        <v>3524.30555555556</v>
      </c>
      <c r="C11" s="2" t="s">
        <v>52</v>
      </c>
    </row>
    <row r="12" customFormat="false" ht="15" hidden="false" customHeight="false" outlineLevel="0" collapsed="false">
      <c r="A12" s="7" t="s">
        <v>53</v>
      </c>
      <c r="B12" s="20" t="n">
        <v>4375</v>
      </c>
      <c r="C12" s="2" t="s">
        <v>54</v>
      </c>
    </row>
    <row r="13" customFormat="false" ht="15" hidden="false" customHeight="false" outlineLevel="0" collapsed="false">
      <c r="A13" s="7" t="s">
        <v>55</v>
      </c>
      <c r="B13" s="20" t="n">
        <v>2</v>
      </c>
      <c r="C13" s="2" t="s">
        <v>56</v>
      </c>
    </row>
    <row r="14" customFormat="false" ht="15" hidden="false" customHeight="false" outlineLevel="0" collapsed="false">
      <c r="A14" s="7" t="s">
        <v>57</v>
      </c>
      <c r="B14" s="20" t="n">
        <v>1</v>
      </c>
      <c r="C14" s="2" t="s">
        <v>58</v>
      </c>
    </row>
    <row r="16" customFormat="false" ht="15" hidden="false" customHeight="false" outlineLevel="0" collapsed="false">
      <c r="A16" s="5" t="s">
        <v>59</v>
      </c>
      <c r="B16" s="6"/>
      <c r="C16" s="6"/>
    </row>
    <row r="17" customFormat="false" ht="15" hidden="false" customHeight="false" outlineLevel="0" collapsed="false">
      <c r="A17" s="7" t="s">
        <v>60</v>
      </c>
      <c r="B17" s="20" t="n">
        <v>50000</v>
      </c>
      <c r="C17" s="2" t="s">
        <v>61</v>
      </c>
    </row>
    <row r="18" customFormat="false" ht="15" hidden="false" customHeight="false" outlineLevel="0" collapsed="false">
      <c r="A18" s="7" t="s">
        <v>62</v>
      </c>
      <c r="B18" s="20" t="n">
        <v>1</v>
      </c>
      <c r="C18" s="2" t="s">
        <v>63</v>
      </c>
    </row>
    <row r="19" customFormat="false" ht="15" hidden="false" customHeight="false" outlineLevel="0" collapsed="false">
      <c r="A19" s="7" t="s">
        <v>64</v>
      </c>
      <c r="B19" s="16" t="n">
        <v>12</v>
      </c>
      <c r="C19" s="2" t="s">
        <v>65</v>
      </c>
    </row>
    <row r="21" customFormat="false" ht="15" hidden="false" customHeight="false" outlineLevel="0" collapsed="false">
      <c r="A21" s="5" t="s">
        <v>66</v>
      </c>
      <c r="B21" s="6"/>
      <c r="C21" s="6"/>
    </row>
    <row r="22" customFormat="false" ht="15" hidden="false" customHeight="false" outlineLevel="0" collapsed="false">
      <c r="A22" s="7" t="s">
        <v>67</v>
      </c>
      <c r="B22" s="20" t="n">
        <v>2500</v>
      </c>
      <c r="C22" s="2" t="s">
        <v>68</v>
      </c>
    </row>
    <row r="24" customFormat="false" ht="15" hidden="false" customHeight="false" outlineLevel="0" collapsed="false">
      <c r="A24" s="5" t="s">
        <v>69</v>
      </c>
      <c r="B24" s="6"/>
      <c r="C24" s="6"/>
    </row>
    <row r="25" customFormat="false" ht="15" hidden="false" customHeight="false" outlineLevel="0" collapsed="false">
      <c r="A25" s="7" t="s">
        <v>70</v>
      </c>
      <c r="B25" s="21" t="n">
        <v>0.0239</v>
      </c>
      <c r="C25" s="2" t="s">
        <v>71</v>
      </c>
    </row>
    <row r="27" customFormat="false" ht="15" hidden="false" customHeight="false" outlineLevel="0" collapsed="false">
      <c r="A27" s="5" t="s">
        <v>72</v>
      </c>
      <c r="B27" s="6"/>
      <c r="C27" s="6"/>
    </row>
    <row r="28" customFormat="false" ht="15" hidden="false" customHeight="false" outlineLevel="0" collapsed="false">
      <c r="A28" s="2" t="s">
        <v>73</v>
      </c>
    </row>
    <row r="29" customFormat="false" ht="15" hidden="false" customHeight="false" outlineLevel="0" collapsed="false">
      <c r="A29" s="2" t="s">
        <v>74</v>
      </c>
    </row>
    <row r="30" customFormat="false" ht="15" hidden="false" customHeight="false" outlineLevel="0" collapsed="false">
      <c r="A30" s="2" t="s">
        <v>75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76</v>
      </c>
    </row>
    <row r="33" customFormat="false" ht="15" hidden="false" customHeight="false" outlineLevel="0" collapsed="false">
      <c r="A33" s="2" t="s">
        <v>77</v>
      </c>
    </row>
    <row r="34" customFormat="false" ht="15" hidden="false" customHeight="false" outlineLevel="0" collapsed="false">
      <c r="A34" s="2" t="s">
        <v>78</v>
      </c>
    </row>
    <row r="35" customFormat="false" ht="15" hidden="false" customHeight="false" outlineLevel="0" collapsed="false">
      <c r="A35" s="2" t="s">
        <v>79</v>
      </c>
    </row>
    <row r="36" customFormat="false" ht="15" hidden="false" customHeight="false" outlineLevel="0" collapsed="false">
      <c r="A36" s="2" t="s">
        <v>80</v>
      </c>
    </row>
    <row r="37" customFormat="false" ht="15" hidden="false" customHeight="false" outlineLevel="0" collapsed="false">
      <c r="A37" s="2" t="s">
        <v>81</v>
      </c>
    </row>
    <row r="38" customFormat="false" ht="15" hidden="false" customHeight="false" outlineLevel="0" collapsed="false">
      <c r="A38" s="2" t="s">
        <v>82</v>
      </c>
    </row>
    <row r="39" customFormat="false" ht="15" hidden="false" customHeight="false" outlineLevel="0" collapsed="false">
      <c r="A39" s="2" t="s">
        <v>83</v>
      </c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 t="s">
        <v>84</v>
      </c>
    </row>
    <row r="42" customFormat="false" ht="15" hidden="false" customHeight="false" outlineLevel="0" collapsed="false">
      <c r="A42" s="2" t="s">
        <v>85</v>
      </c>
    </row>
    <row r="43" customFormat="false" ht="15" hidden="false" customHeight="false" outlineLevel="0" collapsed="false">
      <c r="A43" s="2" t="s">
        <v>86</v>
      </c>
    </row>
    <row r="44" customFormat="false" ht="15" hidden="false" customHeight="false" outlineLevel="0" collapsed="false">
      <c r="A44" s="2" t="s">
        <v>87</v>
      </c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 t="s">
        <v>88</v>
      </c>
    </row>
    <row r="47" customFormat="false" ht="15" hidden="false" customHeight="false" outlineLevel="0" collapsed="false">
      <c r="A47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7" min="6" style="0" width="11"/>
    <col collapsed="false" customWidth="true" hidden="false" outlineLevel="0" max="19" min="8" style="0" width="10"/>
    <col collapsed="false" customWidth="true" hidden="false" outlineLevel="0" max="22" min="20" style="0" width="15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1.5" hidden="false" customHeight="true" outlineLevel="0" collapsed="false">
      <c r="A4" s="22" t="s">
        <v>92</v>
      </c>
      <c r="B4" s="22" t="s">
        <v>93</v>
      </c>
      <c r="C4" s="22" t="s">
        <v>94</v>
      </c>
      <c r="D4" s="22" t="s">
        <v>95</v>
      </c>
      <c r="E4" s="22" t="s">
        <v>96</v>
      </c>
      <c r="F4" s="22" t="s">
        <v>97</v>
      </c>
      <c r="G4" s="22" t="s">
        <v>98</v>
      </c>
      <c r="H4" s="22" t="s">
        <v>4</v>
      </c>
      <c r="I4" s="22" t="s">
        <v>5</v>
      </c>
      <c r="J4" s="22" t="s">
        <v>6</v>
      </c>
      <c r="K4" s="22" t="s">
        <v>7</v>
      </c>
      <c r="L4" s="22" t="s">
        <v>8</v>
      </c>
      <c r="M4" s="22" t="s">
        <v>9</v>
      </c>
      <c r="N4" s="22" t="s">
        <v>10</v>
      </c>
      <c r="O4" s="22" t="s">
        <v>11</v>
      </c>
      <c r="P4" s="22" t="s">
        <v>12</v>
      </c>
      <c r="Q4" s="22" t="s">
        <v>13</v>
      </c>
      <c r="R4" s="22" t="s">
        <v>14</v>
      </c>
      <c r="S4" s="22" t="s">
        <v>15</v>
      </c>
      <c r="T4" s="22" t="s">
        <v>16</v>
      </c>
      <c r="U4" s="22" t="s">
        <v>99</v>
      </c>
      <c r="V4" s="22" t="s">
        <v>100</v>
      </c>
    </row>
    <row r="5" customFormat="false" ht="15" hidden="false" customHeight="false" outlineLevel="0" collapsed="false">
      <c r="A5" s="5" t="s">
        <v>101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customFormat="false" ht="15" hidden="false" customHeight="false" outlineLevel="0" collapsed="false">
      <c r="A6" s="7" t="s">
        <v>102</v>
      </c>
      <c r="B6" s="23" t="n">
        <v>45758</v>
      </c>
      <c r="C6" s="7" t="s">
        <v>103</v>
      </c>
      <c r="D6" s="18" t="n">
        <v>18750</v>
      </c>
      <c r="E6" s="19" t="n">
        <f aca="false">D6/(1+Forudsætninger!$B$6)</f>
        <v>15000</v>
      </c>
      <c r="F6" s="20" t="n">
        <v>12</v>
      </c>
      <c r="G6" s="9" t="n">
        <f aca="false">(YEAR(B6)-2026)*12+MONTH(B6)</f>
        <v>-8</v>
      </c>
      <c r="H6" s="9" t="n">
        <f aca="false">IF(AND(1&gt;=$G6,1&lt;=$G6+$F6-1),$E6/$F6,0)</f>
        <v>1250</v>
      </c>
      <c r="I6" s="9" t="n">
        <f aca="false">IF(AND(2&gt;=$G6,2&lt;=$G6+$F6-1),$E6/$F6,0)</f>
        <v>1250</v>
      </c>
      <c r="J6" s="9" t="n">
        <f aca="false">IF(AND(3&gt;=$G6,3&lt;=$G6+$F6-1),$E6/$F6,0)</f>
        <v>1250</v>
      </c>
      <c r="K6" s="9" t="n">
        <f aca="false">IF(AND(4&gt;=$G6,4&lt;=$G6+$F6-1),$E6/$F6,0)</f>
        <v>0</v>
      </c>
      <c r="L6" s="9" t="n">
        <f aca="false">IF(AND(5&gt;=$G6,5&lt;=$G6+$F6-1),$E6/$F6,0)</f>
        <v>0</v>
      </c>
      <c r="M6" s="9" t="n">
        <f aca="false">IF(AND(6&gt;=$G6,6&lt;=$G6+$F6-1),$E6/$F6,0)</f>
        <v>0</v>
      </c>
      <c r="N6" s="9" t="n">
        <f aca="false">IF(AND(7&gt;=$G6,7&lt;=$G6+$F6-1),$E6/$F6,0)</f>
        <v>0</v>
      </c>
      <c r="O6" s="9" t="n">
        <f aca="false">IF(AND(8&gt;=$G6,8&lt;=$G6+$F6-1),$E6/$F6,0)</f>
        <v>0</v>
      </c>
      <c r="P6" s="9" t="n">
        <f aca="false">IF(AND(9&gt;=$G6,9&lt;=$G6+$F6-1),$E6/$F6,0)</f>
        <v>0</v>
      </c>
      <c r="Q6" s="9" t="n">
        <f aca="false">IF(AND(10&gt;=$G6,10&lt;=$G6+$F6-1),$E6/$F6,0)</f>
        <v>0</v>
      </c>
      <c r="R6" s="9" t="n">
        <f aca="false">IF(AND(11&gt;=$G6,11&lt;=$G6+$F6-1),$E6/$F6,0)</f>
        <v>0</v>
      </c>
      <c r="S6" s="9" t="n">
        <f aca="false">IF(AND(12&gt;=$G6,12&lt;=$G6+$F6-1),$E6/$F6,0)</f>
        <v>0</v>
      </c>
      <c r="T6" s="9" t="n">
        <f aca="false">SUM(H6:S6)</f>
        <v>3750</v>
      </c>
      <c r="U6" s="9" t="n">
        <f aca="false">$E6/$F6*MAX(0,MIN($F6,1-$G6))</f>
        <v>11250</v>
      </c>
      <c r="V6" s="9" t="n">
        <f aca="false">E6-T6-U6</f>
        <v>0</v>
      </c>
    </row>
    <row r="7" customFormat="false" ht="15" hidden="false" customHeight="false" outlineLevel="0" collapsed="false">
      <c r="A7" s="7" t="s">
        <v>104</v>
      </c>
      <c r="B7" s="23" t="n">
        <v>45761</v>
      </c>
      <c r="C7" s="7" t="s">
        <v>103</v>
      </c>
      <c r="D7" s="18" t="n">
        <v>37500</v>
      </c>
      <c r="E7" s="19" t="n">
        <f aca="false">D7/(1+Forudsætninger!$B$6)</f>
        <v>30000</v>
      </c>
      <c r="F7" s="20" t="n">
        <v>12</v>
      </c>
      <c r="G7" s="9" t="n">
        <f aca="false">(YEAR(B7)-2026)*12+MONTH(B7)</f>
        <v>-8</v>
      </c>
      <c r="H7" s="9" t="n">
        <f aca="false">IF(AND(1&gt;=$G7,1&lt;=$G7+$F7-1),$E7/$F7,0)</f>
        <v>2500</v>
      </c>
      <c r="I7" s="9" t="n">
        <f aca="false">IF(AND(2&gt;=$G7,2&lt;=$G7+$F7-1),$E7/$F7,0)</f>
        <v>2500</v>
      </c>
      <c r="J7" s="9" t="n">
        <f aca="false">IF(AND(3&gt;=$G7,3&lt;=$G7+$F7-1),$E7/$F7,0)</f>
        <v>2500</v>
      </c>
      <c r="K7" s="9" t="n">
        <f aca="false">IF(AND(4&gt;=$G7,4&lt;=$G7+$F7-1),$E7/$F7,0)</f>
        <v>0</v>
      </c>
      <c r="L7" s="9" t="n">
        <f aca="false">IF(AND(5&gt;=$G7,5&lt;=$G7+$F7-1),$E7/$F7,0)</f>
        <v>0</v>
      </c>
      <c r="M7" s="9" t="n">
        <f aca="false">IF(AND(6&gt;=$G7,6&lt;=$G7+$F7-1),$E7/$F7,0)</f>
        <v>0</v>
      </c>
      <c r="N7" s="9" t="n">
        <f aca="false">IF(AND(7&gt;=$G7,7&lt;=$G7+$F7-1),$E7/$F7,0)</f>
        <v>0</v>
      </c>
      <c r="O7" s="9" t="n">
        <f aca="false">IF(AND(8&gt;=$G7,8&lt;=$G7+$F7-1),$E7/$F7,0)</f>
        <v>0</v>
      </c>
      <c r="P7" s="9" t="n">
        <f aca="false">IF(AND(9&gt;=$G7,9&lt;=$G7+$F7-1),$E7/$F7,0)</f>
        <v>0</v>
      </c>
      <c r="Q7" s="9" t="n">
        <f aca="false">IF(AND(10&gt;=$G7,10&lt;=$G7+$F7-1),$E7/$F7,0)</f>
        <v>0</v>
      </c>
      <c r="R7" s="9" t="n">
        <f aca="false">IF(AND(11&gt;=$G7,11&lt;=$G7+$F7-1),$E7/$F7,0)</f>
        <v>0</v>
      </c>
      <c r="S7" s="9" t="n">
        <f aca="false">IF(AND(12&gt;=$G7,12&lt;=$G7+$F7-1),$E7/$F7,0)</f>
        <v>0</v>
      </c>
      <c r="T7" s="9" t="n">
        <f aca="false">SUM(H7:S7)</f>
        <v>7500</v>
      </c>
      <c r="U7" s="9" t="n">
        <f aca="false">$E7/$F7*MAX(0,MIN($F7,1-$G7))</f>
        <v>22500</v>
      </c>
      <c r="V7" s="9" t="n">
        <f aca="false">E7-T7-U7</f>
        <v>0</v>
      </c>
    </row>
    <row r="8" customFormat="false" ht="15" hidden="false" customHeight="false" outlineLevel="0" collapsed="false">
      <c r="A8" s="7" t="s">
        <v>105</v>
      </c>
      <c r="B8" s="23" t="n">
        <v>45761</v>
      </c>
      <c r="C8" s="7" t="s">
        <v>103</v>
      </c>
      <c r="D8" s="18" t="n">
        <v>37500</v>
      </c>
      <c r="E8" s="19" t="n">
        <f aca="false">D8/(1+Forudsætninger!$B$6)</f>
        <v>30000</v>
      </c>
      <c r="F8" s="20" t="n">
        <v>12</v>
      </c>
      <c r="G8" s="9" t="n">
        <f aca="false">(YEAR(B8)-2026)*12+MONTH(B8)</f>
        <v>-8</v>
      </c>
      <c r="H8" s="9" t="n">
        <f aca="false">IF(AND(1&gt;=$G8,1&lt;=$G8+$F8-1),$E8/$F8,0)</f>
        <v>2500</v>
      </c>
      <c r="I8" s="9" t="n">
        <f aca="false">IF(AND(2&gt;=$G8,2&lt;=$G8+$F8-1),$E8/$F8,0)</f>
        <v>2500</v>
      </c>
      <c r="J8" s="9" t="n">
        <f aca="false">IF(AND(3&gt;=$G8,3&lt;=$G8+$F8-1),$E8/$F8,0)</f>
        <v>2500</v>
      </c>
      <c r="K8" s="9" t="n">
        <f aca="false">IF(AND(4&gt;=$G8,4&lt;=$G8+$F8-1),$E8/$F8,0)</f>
        <v>0</v>
      </c>
      <c r="L8" s="9" t="n">
        <f aca="false">IF(AND(5&gt;=$G8,5&lt;=$G8+$F8-1),$E8/$F8,0)</f>
        <v>0</v>
      </c>
      <c r="M8" s="9" t="n">
        <f aca="false">IF(AND(6&gt;=$G8,6&lt;=$G8+$F8-1),$E8/$F8,0)</f>
        <v>0</v>
      </c>
      <c r="N8" s="9" t="n">
        <f aca="false">IF(AND(7&gt;=$G8,7&lt;=$G8+$F8-1),$E8/$F8,0)</f>
        <v>0</v>
      </c>
      <c r="O8" s="9" t="n">
        <f aca="false">IF(AND(8&gt;=$G8,8&lt;=$G8+$F8-1),$E8/$F8,0)</f>
        <v>0</v>
      </c>
      <c r="P8" s="9" t="n">
        <f aca="false">IF(AND(9&gt;=$G8,9&lt;=$G8+$F8-1),$E8/$F8,0)</f>
        <v>0</v>
      </c>
      <c r="Q8" s="9" t="n">
        <f aca="false">IF(AND(10&gt;=$G8,10&lt;=$G8+$F8-1),$E8/$F8,0)</f>
        <v>0</v>
      </c>
      <c r="R8" s="9" t="n">
        <f aca="false">IF(AND(11&gt;=$G8,11&lt;=$G8+$F8-1),$E8/$F8,0)</f>
        <v>0</v>
      </c>
      <c r="S8" s="9" t="n">
        <f aca="false">IF(AND(12&gt;=$G8,12&lt;=$G8+$F8-1),$E8/$F8,0)</f>
        <v>0</v>
      </c>
      <c r="T8" s="9" t="n">
        <f aca="false">SUM(H8:S8)</f>
        <v>7500</v>
      </c>
      <c r="U8" s="9" t="n">
        <f aca="false">$E8/$F8*MAX(0,MIN($F8,1-$G8))</f>
        <v>22500</v>
      </c>
      <c r="V8" s="9" t="n">
        <f aca="false">E8-T8-U8</f>
        <v>0</v>
      </c>
    </row>
    <row r="9" customFormat="false" ht="15" hidden="false" customHeight="false" outlineLevel="0" collapsed="false">
      <c r="A9" s="7" t="s">
        <v>106</v>
      </c>
      <c r="B9" s="23" t="n">
        <v>45762</v>
      </c>
      <c r="C9" s="7" t="s">
        <v>103</v>
      </c>
      <c r="D9" s="18" t="n">
        <v>37500</v>
      </c>
      <c r="E9" s="19" t="n">
        <f aca="false">D9/(1+Forudsætninger!$B$6)</f>
        <v>30000</v>
      </c>
      <c r="F9" s="20" t="n">
        <v>12</v>
      </c>
      <c r="G9" s="9" t="n">
        <f aca="false">(YEAR(B9)-2026)*12+MONTH(B9)</f>
        <v>-8</v>
      </c>
      <c r="H9" s="9" t="n">
        <f aca="false">IF(AND(1&gt;=$G9,1&lt;=$G9+$F9-1),$E9/$F9,0)</f>
        <v>2500</v>
      </c>
      <c r="I9" s="9" t="n">
        <f aca="false">IF(AND(2&gt;=$G9,2&lt;=$G9+$F9-1),$E9/$F9,0)</f>
        <v>2500</v>
      </c>
      <c r="J9" s="9" t="n">
        <f aca="false">IF(AND(3&gt;=$G9,3&lt;=$G9+$F9-1),$E9/$F9,0)</f>
        <v>2500</v>
      </c>
      <c r="K9" s="9" t="n">
        <f aca="false">IF(AND(4&gt;=$G9,4&lt;=$G9+$F9-1),$E9/$F9,0)</f>
        <v>0</v>
      </c>
      <c r="L9" s="9" t="n">
        <f aca="false">IF(AND(5&gt;=$G9,5&lt;=$G9+$F9-1),$E9/$F9,0)</f>
        <v>0</v>
      </c>
      <c r="M9" s="9" t="n">
        <f aca="false">IF(AND(6&gt;=$G9,6&lt;=$G9+$F9-1),$E9/$F9,0)</f>
        <v>0</v>
      </c>
      <c r="N9" s="9" t="n">
        <f aca="false">IF(AND(7&gt;=$G9,7&lt;=$G9+$F9-1),$E9/$F9,0)</f>
        <v>0</v>
      </c>
      <c r="O9" s="9" t="n">
        <f aca="false">IF(AND(8&gt;=$G9,8&lt;=$G9+$F9-1),$E9/$F9,0)</f>
        <v>0</v>
      </c>
      <c r="P9" s="9" t="n">
        <f aca="false">IF(AND(9&gt;=$G9,9&lt;=$G9+$F9-1),$E9/$F9,0)</f>
        <v>0</v>
      </c>
      <c r="Q9" s="9" t="n">
        <f aca="false">IF(AND(10&gt;=$G9,10&lt;=$G9+$F9-1),$E9/$F9,0)</f>
        <v>0</v>
      </c>
      <c r="R9" s="9" t="n">
        <f aca="false">IF(AND(11&gt;=$G9,11&lt;=$G9+$F9-1),$E9/$F9,0)</f>
        <v>0</v>
      </c>
      <c r="S9" s="9" t="n">
        <f aca="false">IF(AND(12&gt;=$G9,12&lt;=$G9+$F9-1),$E9/$F9,0)</f>
        <v>0</v>
      </c>
      <c r="T9" s="9" t="n">
        <f aca="false">SUM(H9:S9)</f>
        <v>7500</v>
      </c>
      <c r="U9" s="9" t="n">
        <f aca="false">$E9/$F9*MAX(0,MIN($F9,1-$G9))</f>
        <v>22500</v>
      </c>
      <c r="V9" s="9" t="n">
        <f aca="false">E9-T9-U9</f>
        <v>0</v>
      </c>
    </row>
    <row r="10" customFormat="false" ht="15" hidden="false" customHeight="false" outlineLevel="0" collapsed="false">
      <c r="A10" s="7" t="s">
        <v>107</v>
      </c>
      <c r="B10" s="23" t="n">
        <v>45762</v>
      </c>
      <c r="C10" s="7" t="s">
        <v>103</v>
      </c>
      <c r="D10" s="18" t="n">
        <v>37500</v>
      </c>
      <c r="E10" s="19" t="n">
        <f aca="false">D10/(1+Forudsætninger!$B$6)</f>
        <v>30000</v>
      </c>
      <c r="F10" s="20" t="n">
        <v>12</v>
      </c>
      <c r="G10" s="9" t="n">
        <f aca="false">(YEAR(B10)-2026)*12+MONTH(B10)</f>
        <v>-8</v>
      </c>
      <c r="H10" s="9" t="n">
        <f aca="false">IF(AND(1&gt;=$G10,1&lt;=$G10+$F10-1),$E10/$F10,0)</f>
        <v>2500</v>
      </c>
      <c r="I10" s="9" t="n">
        <f aca="false">IF(AND(2&gt;=$G10,2&lt;=$G10+$F10-1),$E10/$F10,0)</f>
        <v>2500</v>
      </c>
      <c r="J10" s="9" t="n">
        <f aca="false">IF(AND(3&gt;=$G10,3&lt;=$G10+$F10-1),$E10/$F10,0)</f>
        <v>2500</v>
      </c>
      <c r="K10" s="9" t="n">
        <f aca="false">IF(AND(4&gt;=$G10,4&lt;=$G10+$F10-1),$E10/$F10,0)</f>
        <v>0</v>
      </c>
      <c r="L10" s="9" t="n">
        <f aca="false">IF(AND(5&gt;=$G10,5&lt;=$G10+$F10-1),$E10/$F10,0)</f>
        <v>0</v>
      </c>
      <c r="M10" s="9" t="n">
        <f aca="false">IF(AND(6&gt;=$G10,6&lt;=$G10+$F10-1),$E10/$F10,0)</f>
        <v>0</v>
      </c>
      <c r="N10" s="9" t="n">
        <f aca="false">IF(AND(7&gt;=$G10,7&lt;=$G10+$F10-1),$E10/$F10,0)</f>
        <v>0</v>
      </c>
      <c r="O10" s="9" t="n">
        <f aca="false">IF(AND(8&gt;=$G10,8&lt;=$G10+$F10-1),$E10/$F10,0)</f>
        <v>0</v>
      </c>
      <c r="P10" s="9" t="n">
        <f aca="false">IF(AND(9&gt;=$G10,9&lt;=$G10+$F10-1),$E10/$F10,0)</f>
        <v>0</v>
      </c>
      <c r="Q10" s="9" t="n">
        <f aca="false">IF(AND(10&gt;=$G10,10&lt;=$G10+$F10-1),$E10/$F10,0)</f>
        <v>0</v>
      </c>
      <c r="R10" s="9" t="n">
        <f aca="false">IF(AND(11&gt;=$G10,11&lt;=$G10+$F10-1),$E10/$F10,0)</f>
        <v>0</v>
      </c>
      <c r="S10" s="9" t="n">
        <f aca="false">IF(AND(12&gt;=$G10,12&lt;=$G10+$F10-1),$E10/$F10,0)</f>
        <v>0</v>
      </c>
      <c r="T10" s="9" t="n">
        <f aca="false">SUM(H10:S10)</f>
        <v>7500</v>
      </c>
      <c r="U10" s="9" t="n">
        <f aca="false">$E10/$F10*MAX(0,MIN($F10,1-$G10))</f>
        <v>22500</v>
      </c>
      <c r="V10" s="9" t="n">
        <f aca="false">E10-T10-U10</f>
        <v>0</v>
      </c>
    </row>
    <row r="11" customFormat="false" ht="15" hidden="false" customHeight="false" outlineLevel="0" collapsed="false">
      <c r="A11" s="7" t="s">
        <v>108</v>
      </c>
      <c r="B11" s="23" t="n">
        <v>45765</v>
      </c>
      <c r="C11" s="7" t="s">
        <v>103</v>
      </c>
      <c r="D11" s="18" t="n">
        <v>18750</v>
      </c>
      <c r="E11" s="19" t="n">
        <f aca="false">D11/(1+Forudsætninger!$B$6)</f>
        <v>15000</v>
      </c>
      <c r="F11" s="20" t="n">
        <v>12</v>
      </c>
      <c r="G11" s="9" t="n">
        <f aca="false">(YEAR(B11)-2026)*12+MONTH(B11)</f>
        <v>-8</v>
      </c>
      <c r="H11" s="9" t="n">
        <f aca="false">IF(AND(1&gt;=$G11,1&lt;=$G11+$F11-1),$E11/$F11,0)</f>
        <v>1250</v>
      </c>
      <c r="I11" s="9" t="n">
        <f aca="false">IF(AND(2&gt;=$G11,2&lt;=$G11+$F11-1),$E11/$F11,0)</f>
        <v>1250</v>
      </c>
      <c r="J11" s="9" t="n">
        <f aca="false">IF(AND(3&gt;=$G11,3&lt;=$G11+$F11-1),$E11/$F11,0)</f>
        <v>1250</v>
      </c>
      <c r="K11" s="9" t="n">
        <f aca="false">IF(AND(4&gt;=$G11,4&lt;=$G11+$F11-1),$E11/$F11,0)</f>
        <v>0</v>
      </c>
      <c r="L11" s="9" t="n">
        <f aca="false">IF(AND(5&gt;=$G11,5&lt;=$G11+$F11-1),$E11/$F11,0)</f>
        <v>0</v>
      </c>
      <c r="M11" s="9" t="n">
        <f aca="false">IF(AND(6&gt;=$G11,6&lt;=$G11+$F11-1),$E11/$F11,0)</f>
        <v>0</v>
      </c>
      <c r="N11" s="9" t="n">
        <f aca="false">IF(AND(7&gt;=$G11,7&lt;=$G11+$F11-1),$E11/$F11,0)</f>
        <v>0</v>
      </c>
      <c r="O11" s="9" t="n">
        <f aca="false">IF(AND(8&gt;=$G11,8&lt;=$G11+$F11-1),$E11/$F11,0)</f>
        <v>0</v>
      </c>
      <c r="P11" s="9" t="n">
        <f aca="false">IF(AND(9&gt;=$G11,9&lt;=$G11+$F11-1),$E11/$F11,0)</f>
        <v>0</v>
      </c>
      <c r="Q11" s="9" t="n">
        <f aca="false">IF(AND(10&gt;=$G11,10&lt;=$G11+$F11-1),$E11/$F11,0)</f>
        <v>0</v>
      </c>
      <c r="R11" s="9" t="n">
        <f aca="false">IF(AND(11&gt;=$G11,11&lt;=$G11+$F11-1),$E11/$F11,0)</f>
        <v>0</v>
      </c>
      <c r="S11" s="9" t="n">
        <f aca="false">IF(AND(12&gt;=$G11,12&lt;=$G11+$F11-1),$E11/$F11,0)</f>
        <v>0</v>
      </c>
      <c r="T11" s="9" t="n">
        <f aca="false">SUM(H11:S11)</f>
        <v>3750</v>
      </c>
      <c r="U11" s="9" t="n">
        <f aca="false">$E11/$F11*MAX(0,MIN($F11,1-$G11))</f>
        <v>11250</v>
      </c>
      <c r="V11" s="9" t="n">
        <f aca="false">E11-T11-U11</f>
        <v>0</v>
      </c>
    </row>
    <row r="12" customFormat="false" ht="15" hidden="false" customHeight="false" outlineLevel="0" collapsed="false">
      <c r="A12" s="7" t="s">
        <v>109</v>
      </c>
      <c r="B12" s="23" t="n">
        <v>45765</v>
      </c>
      <c r="C12" s="7" t="s">
        <v>103</v>
      </c>
      <c r="D12" s="18" t="n">
        <v>37500</v>
      </c>
      <c r="E12" s="19" t="n">
        <f aca="false">D12/(1+Forudsætninger!$B$6)</f>
        <v>30000</v>
      </c>
      <c r="F12" s="20" t="n">
        <v>12</v>
      </c>
      <c r="G12" s="9" t="n">
        <f aca="false">(YEAR(B12)-2026)*12+MONTH(B12)</f>
        <v>-8</v>
      </c>
      <c r="H12" s="9" t="n">
        <f aca="false">IF(AND(1&gt;=$G12,1&lt;=$G12+$F12-1),$E12/$F12,0)</f>
        <v>2500</v>
      </c>
      <c r="I12" s="9" t="n">
        <f aca="false">IF(AND(2&gt;=$G12,2&lt;=$G12+$F12-1),$E12/$F12,0)</f>
        <v>2500</v>
      </c>
      <c r="J12" s="9" t="n">
        <f aca="false">IF(AND(3&gt;=$G12,3&lt;=$G12+$F12-1),$E12/$F12,0)</f>
        <v>2500</v>
      </c>
      <c r="K12" s="9" t="n">
        <f aca="false">IF(AND(4&gt;=$G12,4&lt;=$G12+$F12-1),$E12/$F12,0)</f>
        <v>0</v>
      </c>
      <c r="L12" s="9" t="n">
        <f aca="false">IF(AND(5&gt;=$G12,5&lt;=$G12+$F12-1),$E12/$F12,0)</f>
        <v>0</v>
      </c>
      <c r="M12" s="9" t="n">
        <f aca="false">IF(AND(6&gt;=$G12,6&lt;=$G12+$F12-1),$E12/$F12,0)</f>
        <v>0</v>
      </c>
      <c r="N12" s="9" t="n">
        <f aca="false">IF(AND(7&gt;=$G12,7&lt;=$G12+$F12-1),$E12/$F12,0)</f>
        <v>0</v>
      </c>
      <c r="O12" s="9" t="n">
        <f aca="false">IF(AND(8&gt;=$G12,8&lt;=$G12+$F12-1),$E12/$F12,0)</f>
        <v>0</v>
      </c>
      <c r="P12" s="9" t="n">
        <f aca="false">IF(AND(9&gt;=$G12,9&lt;=$G12+$F12-1),$E12/$F12,0)</f>
        <v>0</v>
      </c>
      <c r="Q12" s="9" t="n">
        <f aca="false">IF(AND(10&gt;=$G12,10&lt;=$G12+$F12-1),$E12/$F12,0)</f>
        <v>0</v>
      </c>
      <c r="R12" s="9" t="n">
        <f aca="false">IF(AND(11&gt;=$G12,11&lt;=$G12+$F12-1),$E12/$F12,0)</f>
        <v>0</v>
      </c>
      <c r="S12" s="9" t="n">
        <f aca="false">IF(AND(12&gt;=$G12,12&lt;=$G12+$F12-1),$E12/$F12,0)</f>
        <v>0</v>
      </c>
      <c r="T12" s="9" t="n">
        <f aca="false">SUM(H12:S12)</f>
        <v>7500</v>
      </c>
      <c r="U12" s="9" t="n">
        <f aca="false">$E12/$F12*MAX(0,MIN($F12,1-$G12))</f>
        <v>22500</v>
      </c>
      <c r="V12" s="9" t="n">
        <f aca="false">E12-T12-U12</f>
        <v>0</v>
      </c>
    </row>
    <row r="13" customFormat="false" ht="15" hidden="false" customHeight="false" outlineLevel="0" collapsed="false">
      <c r="A13" s="7" t="s">
        <v>110</v>
      </c>
      <c r="B13" s="23" t="n">
        <v>45770</v>
      </c>
      <c r="C13" s="7" t="s">
        <v>103</v>
      </c>
      <c r="D13" s="18" t="n">
        <v>12500</v>
      </c>
      <c r="E13" s="19" t="n">
        <f aca="false">D13/(1+Forudsætninger!$B$6)</f>
        <v>10000</v>
      </c>
      <c r="F13" s="20" t="n">
        <v>12</v>
      </c>
      <c r="G13" s="9" t="n">
        <f aca="false">(YEAR(B13)-2026)*12+MONTH(B13)</f>
        <v>-8</v>
      </c>
      <c r="H13" s="9" t="n">
        <f aca="false">IF(AND(1&gt;=$G13,1&lt;=$G13+$F13-1),$E13/$F13,0)</f>
        <v>833.333333333333</v>
      </c>
      <c r="I13" s="9" t="n">
        <f aca="false">IF(AND(2&gt;=$G13,2&lt;=$G13+$F13-1),$E13/$F13,0)</f>
        <v>833.333333333333</v>
      </c>
      <c r="J13" s="9" t="n">
        <f aca="false">IF(AND(3&gt;=$G13,3&lt;=$G13+$F13-1),$E13/$F13,0)</f>
        <v>833.333333333333</v>
      </c>
      <c r="K13" s="9" t="n">
        <f aca="false">IF(AND(4&gt;=$G13,4&lt;=$G13+$F13-1),$E13/$F13,0)</f>
        <v>0</v>
      </c>
      <c r="L13" s="9" t="n">
        <f aca="false">IF(AND(5&gt;=$G13,5&lt;=$G13+$F13-1),$E13/$F13,0)</f>
        <v>0</v>
      </c>
      <c r="M13" s="9" t="n">
        <f aca="false">IF(AND(6&gt;=$G13,6&lt;=$G13+$F13-1),$E13/$F13,0)</f>
        <v>0</v>
      </c>
      <c r="N13" s="9" t="n">
        <f aca="false">IF(AND(7&gt;=$G13,7&lt;=$G13+$F13-1),$E13/$F13,0)</f>
        <v>0</v>
      </c>
      <c r="O13" s="9" t="n">
        <f aca="false">IF(AND(8&gt;=$G13,8&lt;=$G13+$F13-1),$E13/$F13,0)</f>
        <v>0</v>
      </c>
      <c r="P13" s="9" t="n">
        <f aca="false">IF(AND(9&gt;=$G13,9&lt;=$G13+$F13-1),$E13/$F13,0)</f>
        <v>0</v>
      </c>
      <c r="Q13" s="9" t="n">
        <f aca="false">IF(AND(10&gt;=$G13,10&lt;=$G13+$F13-1),$E13/$F13,0)</f>
        <v>0</v>
      </c>
      <c r="R13" s="9" t="n">
        <f aca="false">IF(AND(11&gt;=$G13,11&lt;=$G13+$F13-1),$E13/$F13,0)</f>
        <v>0</v>
      </c>
      <c r="S13" s="9" t="n">
        <f aca="false">IF(AND(12&gt;=$G13,12&lt;=$G13+$F13-1),$E13/$F13,0)</f>
        <v>0</v>
      </c>
      <c r="T13" s="9" t="n">
        <f aca="false">SUM(H13:S13)</f>
        <v>2500</v>
      </c>
      <c r="U13" s="9" t="n">
        <f aca="false">$E13/$F13*MAX(0,MIN($F13,1-$G13))</f>
        <v>7500</v>
      </c>
      <c r="V13" s="9" t="n">
        <f aca="false">E13-T13-U13</f>
        <v>0</v>
      </c>
    </row>
    <row r="14" customFormat="false" ht="15" hidden="false" customHeight="false" outlineLevel="0" collapsed="false">
      <c r="A14" s="7" t="s">
        <v>111</v>
      </c>
      <c r="B14" s="23" t="n">
        <v>45777</v>
      </c>
      <c r="C14" s="7" t="s">
        <v>103</v>
      </c>
      <c r="D14" s="18" t="n">
        <v>37500</v>
      </c>
      <c r="E14" s="19" t="n">
        <f aca="false">D14/(1+Forudsætninger!$B$6)</f>
        <v>30000</v>
      </c>
      <c r="F14" s="20" t="n">
        <v>12</v>
      </c>
      <c r="G14" s="9" t="n">
        <f aca="false">(YEAR(B14)-2026)*12+MONTH(B14)</f>
        <v>-8</v>
      </c>
      <c r="H14" s="9" t="n">
        <f aca="false">IF(AND(1&gt;=$G14,1&lt;=$G14+$F14-1),$E14/$F14,0)</f>
        <v>2500</v>
      </c>
      <c r="I14" s="9" t="n">
        <f aca="false">IF(AND(2&gt;=$G14,2&lt;=$G14+$F14-1),$E14/$F14,0)</f>
        <v>2500</v>
      </c>
      <c r="J14" s="9" t="n">
        <f aca="false">IF(AND(3&gt;=$G14,3&lt;=$G14+$F14-1),$E14/$F14,0)</f>
        <v>2500</v>
      </c>
      <c r="K14" s="9" t="n">
        <f aca="false">IF(AND(4&gt;=$G14,4&lt;=$G14+$F14-1),$E14/$F14,0)</f>
        <v>0</v>
      </c>
      <c r="L14" s="9" t="n">
        <f aca="false">IF(AND(5&gt;=$G14,5&lt;=$G14+$F14-1),$E14/$F14,0)</f>
        <v>0</v>
      </c>
      <c r="M14" s="9" t="n">
        <f aca="false">IF(AND(6&gt;=$G14,6&lt;=$G14+$F14-1),$E14/$F14,0)</f>
        <v>0</v>
      </c>
      <c r="N14" s="9" t="n">
        <f aca="false">IF(AND(7&gt;=$G14,7&lt;=$G14+$F14-1),$E14/$F14,0)</f>
        <v>0</v>
      </c>
      <c r="O14" s="9" t="n">
        <f aca="false">IF(AND(8&gt;=$G14,8&lt;=$G14+$F14-1),$E14/$F14,0)</f>
        <v>0</v>
      </c>
      <c r="P14" s="9" t="n">
        <f aca="false">IF(AND(9&gt;=$G14,9&lt;=$G14+$F14-1),$E14/$F14,0)</f>
        <v>0</v>
      </c>
      <c r="Q14" s="9" t="n">
        <f aca="false">IF(AND(10&gt;=$G14,10&lt;=$G14+$F14-1),$E14/$F14,0)</f>
        <v>0</v>
      </c>
      <c r="R14" s="9" t="n">
        <f aca="false">IF(AND(11&gt;=$G14,11&lt;=$G14+$F14-1),$E14/$F14,0)</f>
        <v>0</v>
      </c>
      <c r="S14" s="9" t="n">
        <f aca="false">IF(AND(12&gt;=$G14,12&lt;=$G14+$F14-1),$E14/$F14,0)</f>
        <v>0</v>
      </c>
      <c r="T14" s="9" t="n">
        <f aca="false">SUM(H14:S14)</f>
        <v>7500</v>
      </c>
      <c r="U14" s="9" t="n">
        <f aca="false">$E14/$F14*MAX(0,MIN($F14,1-$G14))</f>
        <v>22500</v>
      </c>
      <c r="V14" s="9" t="n">
        <f aca="false">E14-T14-U14</f>
        <v>0</v>
      </c>
    </row>
    <row r="15" customFormat="false" ht="15" hidden="false" customHeight="false" outlineLevel="0" collapsed="false">
      <c r="A15" s="7" t="s">
        <v>112</v>
      </c>
      <c r="B15" s="23" t="n">
        <v>45782</v>
      </c>
      <c r="C15" s="7" t="s">
        <v>103</v>
      </c>
      <c r="D15" s="18" t="n">
        <v>37500</v>
      </c>
      <c r="E15" s="19" t="n">
        <f aca="false">D15/(1+Forudsætninger!$B$6)</f>
        <v>30000</v>
      </c>
      <c r="F15" s="20" t="n">
        <v>12</v>
      </c>
      <c r="G15" s="9" t="n">
        <f aca="false">(YEAR(B15)-2026)*12+MONTH(B15)</f>
        <v>-7</v>
      </c>
      <c r="H15" s="9" t="n">
        <f aca="false">IF(AND(1&gt;=$G15,1&lt;=$G15+$F15-1),$E15/$F15,0)</f>
        <v>2500</v>
      </c>
      <c r="I15" s="9" t="n">
        <f aca="false">IF(AND(2&gt;=$G15,2&lt;=$G15+$F15-1),$E15/$F15,0)</f>
        <v>2500</v>
      </c>
      <c r="J15" s="9" t="n">
        <f aca="false">IF(AND(3&gt;=$G15,3&lt;=$G15+$F15-1),$E15/$F15,0)</f>
        <v>2500</v>
      </c>
      <c r="K15" s="9" t="n">
        <f aca="false">IF(AND(4&gt;=$G15,4&lt;=$G15+$F15-1),$E15/$F15,0)</f>
        <v>2500</v>
      </c>
      <c r="L15" s="9" t="n">
        <f aca="false">IF(AND(5&gt;=$G15,5&lt;=$G15+$F15-1),$E15/$F15,0)</f>
        <v>0</v>
      </c>
      <c r="M15" s="9" t="n">
        <f aca="false">IF(AND(6&gt;=$G15,6&lt;=$G15+$F15-1),$E15/$F15,0)</f>
        <v>0</v>
      </c>
      <c r="N15" s="9" t="n">
        <f aca="false">IF(AND(7&gt;=$G15,7&lt;=$G15+$F15-1),$E15/$F15,0)</f>
        <v>0</v>
      </c>
      <c r="O15" s="9" t="n">
        <f aca="false">IF(AND(8&gt;=$G15,8&lt;=$G15+$F15-1),$E15/$F15,0)</f>
        <v>0</v>
      </c>
      <c r="P15" s="9" t="n">
        <f aca="false">IF(AND(9&gt;=$G15,9&lt;=$G15+$F15-1),$E15/$F15,0)</f>
        <v>0</v>
      </c>
      <c r="Q15" s="9" t="n">
        <f aca="false">IF(AND(10&gt;=$G15,10&lt;=$G15+$F15-1),$E15/$F15,0)</f>
        <v>0</v>
      </c>
      <c r="R15" s="9" t="n">
        <f aca="false">IF(AND(11&gt;=$G15,11&lt;=$G15+$F15-1),$E15/$F15,0)</f>
        <v>0</v>
      </c>
      <c r="S15" s="9" t="n">
        <f aca="false">IF(AND(12&gt;=$G15,12&lt;=$G15+$F15-1),$E15/$F15,0)</f>
        <v>0</v>
      </c>
      <c r="T15" s="9" t="n">
        <f aca="false">SUM(H15:S15)</f>
        <v>10000</v>
      </c>
      <c r="U15" s="9" t="n">
        <f aca="false">$E15/$F15*MAX(0,MIN($F15,1-$G15))</f>
        <v>20000</v>
      </c>
      <c r="V15" s="9" t="n">
        <f aca="false">E15-T15-U15</f>
        <v>0</v>
      </c>
    </row>
    <row r="16" customFormat="false" ht="15" hidden="false" customHeight="false" outlineLevel="0" collapsed="false">
      <c r="A16" s="7" t="s">
        <v>113</v>
      </c>
      <c r="B16" s="23" t="n">
        <v>45800</v>
      </c>
      <c r="C16" s="7" t="s">
        <v>103</v>
      </c>
      <c r="D16" s="18" t="n">
        <v>50000</v>
      </c>
      <c r="E16" s="19" t="n">
        <f aca="false">D16/(1+Forudsætninger!$B$6)</f>
        <v>40000</v>
      </c>
      <c r="F16" s="20" t="n">
        <v>12</v>
      </c>
      <c r="G16" s="9" t="n">
        <f aca="false">(YEAR(B16)-2026)*12+MONTH(B16)</f>
        <v>-7</v>
      </c>
      <c r="H16" s="9" t="n">
        <f aca="false">IF(AND(1&gt;=$G16,1&lt;=$G16+$F16-1),$E16/$F16,0)</f>
        <v>3333.33333333333</v>
      </c>
      <c r="I16" s="9" t="n">
        <f aca="false">IF(AND(2&gt;=$G16,2&lt;=$G16+$F16-1),$E16/$F16,0)</f>
        <v>3333.33333333333</v>
      </c>
      <c r="J16" s="9" t="n">
        <f aca="false">IF(AND(3&gt;=$G16,3&lt;=$G16+$F16-1),$E16/$F16,0)</f>
        <v>3333.33333333333</v>
      </c>
      <c r="K16" s="9" t="n">
        <f aca="false">IF(AND(4&gt;=$G16,4&lt;=$G16+$F16-1),$E16/$F16,0)</f>
        <v>3333.33333333333</v>
      </c>
      <c r="L16" s="9" t="n">
        <f aca="false">IF(AND(5&gt;=$G16,5&lt;=$G16+$F16-1),$E16/$F16,0)</f>
        <v>0</v>
      </c>
      <c r="M16" s="9" t="n">
        <f aca="false">IF(AND(6&gt;=$G16,6&lt;=$G16+$F16-1),$E16/$F16,0)</f>
        <v>0</v>
      </c>
      <c r="N16" s="9" t="n">
        <f aca="false">IF(AND(7&gt;=$G16,7&lt;=$G16+$F16-1),$E16/$F16,0)</f>
        <v>0</v>
      </c>
      <c r="O16" s="9" t="n">
        <f aca="false">IF(AND(8&gt;=$G16,8&lt;=$G16+$F16-1),$E16/$F16,0)</f>
        <v>0</v>
      </c>
      <c r="P16" s="9" t="n">
        <f aca="false">IF(AND(9&gt;=$G16,9&lt;=$G16+$F16-1),$E16/$F16,0)</f>
        <v>0</v>
      </c>
      <c r="Q16" s="9" t="n">
        <f aca="false">IF(AND(10&gt;=$G16,10&lt;=$G16+$F16-1),$E16/$F16,0)</f>
        <v>0</v>
      </c>
      <c r="R16" s="9" t="n">
        <f aca="false">IF(AND(11&gt;=$G16,11&lt;=$G16+$F16-1),$E16/$F16,0)</f>
        <v>0</v>
      </c>
      <c r="S16" s="9" t="n">
        <f aca="false">IF(AND(12&gt;=$G16,12&lt;=$G16+$F16-1),$E16/$F16,0)</f>
        <v>0</v>
      </c>
      <c r="T16" s="9" t="n">
        <f aca="false">SUM(H16:S16)</f>
        <v>13333.3333333333</v>
      </c>
      <c r="U16" s="9" t="n">
        <f aca="false">$E16/$F16*MAX(0,MIN($F16,1-$G16))</f>
        <v>26666.6666666667</v>
      </c>
      <c r="V16" s="9" t="n">
        <f aca="false">E16-T16-U16</f>
        <v>0</v>
      </c>
    </row>
    <row r="17" customFormat="false" ht="15" hidden="false" customHeight="false" outlineLevel="0" collapsed="false">
      <c r="A17" s="7" t="s">
        <v>114</v>
      </c>
      <c r="B17" s="23" t="n">
        <v>45824</v>
      </c>
      <c r="C17" s="7" t="s">
        <v>103</v>
      </c>
      <c r="D17" s="18" t="n">
        <v>50000</v>
      </c>
      <c r="E17" s="19" t="n">
        <f aca="false">D17/(1+Forudsætninger!$B$6)</f>
        <v>40000</v>
      </c>
      <c r="F17" s="20" t="n">
        <v>12</v>
      </c>
      <c r="G17" s="9" t="n">
        <f aca="false">(YEAR(B17)-2026)*12+MONTH(B17)</f>
        <v>-6</v>
      </c>
      <c r="H17" s="9" t="n">
        <f aca="false">IF(AND(1&gt;=$G17,1&lt;=$G17+$F17-1),$E17/$F17,0)</f>
        <v>3333.33333333333</v>
      </c>
      <c r="I17" s="9" t="n">
        <f aca="false">IF(AND(2&gt;=$G17,2&lt;=$G17+$F17-1),$E17/$F17,0)</f>
        <v>3333.33333333333</v>
      </c>
      <c r="J17" s="9" t="n">
        <f aca="false">IF(AND(3&gt;=$G17,3&lt;=$G17+$F17-1),$E17/$F17,0)</f>
        <v>3333.33333333333</v>
      </c>
      <c r="K17" s="9" t="n">
        <f aca="false">IF(AND(4&gt;=$G17,4&lt;=$G17+$F17-1),$E17/$F17,0)</f>
        <v>3333.33333333333</v>
      </c>
      <c r="L17" s="9" t="n">
        <f aca="false">IF(AND(5&gt;=$G17,5&lt;=$G17+$F17-1),$E17/$F17,0)</f>
        <v>3333.33333333333</v>
      </c>
      <c r="M17" s="9" t="n">
        <f aca="false">IF(AND(6&gt;=$G17,6&lt;=$G17+$F17-1),$E17/$F17,0)</f>
        <v>0</v>
      </c>
      <c r="N17" s="9" t="n">
        <f aca="false">IF(AND(7&gt;=$G17,7&lt;=$G17+$F17-1),$E17/$F17,0)</f>
        <v>0</v>
      </c>
      <c r="O17" s="9" t="n">
        <f aca="false">IF(AND(8&gt;=$G17,8&lt;=$G17+$F17-1),$E17/$F17,0)</f>
        <v>0</v>
      </c>
      <c r="P17" s="9" t="n">
        <f aca="false">IF(AND(9&gt;=$G17,9&lt;=$G17+$F17-1),$E17/$F17,0)</f>
        <v>0</v>
      </c>
      <c r="Q17" s="9" t="n">
        <f aca="false">IF(AND(10&gt;=$G17,10&lt;=$G17+$F17-1),$E17/$F17,0)</f>
        <v>0</v>
      </c>
      <c r="R17" s="9" t="n">
        <f aca="false">IF(AND(11&gt;=$G17,11&lt;=$G17+$F17-1),$E17/$F17,0)</f>
        <v>0</v>
      </c>
      <c r="S17" s="9" t="n">
        <f aca="false">IF(AND(12&gt;=$G17,12&lt;=$G17+$F17-1),$E17/$F17,0)</f>
        <v>0</v>
      </c>
      <c r="T17" s="9" t="n">
        <f aca="false">SUM(H17:S17)</f>
        <v>16666.6666666667</v>
      </c>
      <c r="U17" s="9" t="n">
        <f aca="false">$E17/$F17*MAX(0,MIN($F17,1-$G17))</f>
        <v>23333.3333333333</v>
      </c>
      <c r="V17" s="9" t="n">
        <f aca="false">E17-T17-U17</f>
        <v>0</v>
      </c>
    </row>
    <row r="18" customFormat="false" ht="15" hidden="false" customHeight="false" outlineLevel="0" collapsed="false">
      <c r="A18" s="7" t="s">
        <v>115</v>
      </c>
      <c r="B18" s="23" t="n">
        <v>45889</v>
      </c>
      <c r="C18" s="7" t="s">
        <v>116</v>
      </c>
      <c r="D18" s="18" t="n">
        <v>50000</v>
      </c>
      <c r="E18" s="19" t="n">
        <f aca="false">D18/(1+Forudsætninger!$B$6)</f>
        <v>40000</v>
      </c>
      <c r="F18" s="20" t="n">
        <v>12</v>
      </c>
      <c r="G18" s="9" t="n">
        <f aca="false">(YEAR(B18)-2026)*12+MONTH(B18)</f>
        <v>-4</v>
      </c>
      <c r="H18" s="9" t="n">
        <f aca="false">IF(AND(1&gt;=$G18,1&lt;=$G18+$F18-1),$E18/$F18,0)</f>
        <v>3333.33333333333</v>
      </c>
      <c r="I18" s="9" t="n">
        <f aca="false">IF(AND(2&gt;=$G18,2&lt;=$G18+$F18-1),$E18/$F18,0)</f>
        <v>3333.33333333333</v>
      </c>
      <c r="J18" s="9" t="n">
        <f aca="false">IF(AND(3&gt;=$G18,3&lt;=$G18+$F18-1),$E18/$F18,0)</f>
        <v>3333.33333333333</v>
      </c>
      <c r="K18" s="9" t="n">
        <f aca="false">IF(AND(4&gt;=$G18,4&lt;=$G18+$F18-1),$E18/$F18,0)</f>
        <v>3333.33333333333</v>
      </c>
      <c r="L18" s="9" t="n">
        <f aca="false">IF(AND(5&gt;=$G18,5&lt;=$G18+$F18-1),$E18/$F18,0)</f>
        <v>3333.33333333333</v>
      </c>
      <c r="M18" s="9" t="n">
        <f aca="false">IF(AND(6&gt;=$G18,6&lt;=$G18+$F18-1),$E18/$F18,0)</f>
        <v>3333.33333333333</v>
      </c>
      <c r="N18" s="9" t="n">
        <f aca="false">IF(AND(7&gt;=$G18,7&lt;=$G18+$F18-1),$E18/$F18,0)</f>
        <v>3333.33333333333</v>
      </c>
      <c r="O18" s="9" t="n">
        <f aca="false">IF(AND(8&gt;=$G18,8&lt;=$G18+$F18-1),$E18/$F18,0)</f>
        <v>0</v>
      </c>
      <c r="P18" s="9" t="n">
        <f aca="false">IF(AND(9&gt;=$G18,9&lt;=$G18+$F18-1),$E18/$F18,0)</f>
        <v>0</v>
      </c>
      <c r="Q18" s="9" t="n">
        <f aca="false">IF(AND(10&gt;=$G18,10&lt;=$G18+$F18-1),$E18/$F18,0)</f>
        <v>0</v>
      </c>
      <c r="R18" s="9" t="n">
        <f aca="false">IF(AND(11&gt;=$G18,11&lt;=$G18+$F18-1),$E18/$F18,0)</f>
        <v>0</v>
      </c>
      <c r="S18" s="9" t="n">
        <f aca="false">IF(AND(12&gt;=$G18,12&lt;=$G18+$F18-1),$E18/$F18,0)</f>
        <v>0</v>
      </c>
      <c r="T18" s="9" t="n">
        <f aca="false">SUM(H18:S18)</f>
        <v>23333.3333333333</v>
      </c>
      <c r="U18" s="9" t="n">
        <f aca="false">$E18/$F18*MAX(0,MIN($F18,1-$G18))</f>
        <v>16666.6666666667</v>
      </c>
      <c r="V18" s="9" t="n">
        <f aca="false">E18-T18-U18</f>
        <v>0</v>
      </c>
    </row>
    <row r="19" customFormat="false" ht="15" hidden="false" customHeight="false" outlineLevel="0" collapsed="false">
      <c r="A19" s="7" t="s">
        <v>117</v>
      </c>
      <c r="B19" s="23" t="n">
        <v>45901</v>
      </c>
      <c r="C19" s="7" t="s">
        <v>103</v>
      </c>
      <c r="D19" s="18" t="n">
        <v>25000</v>
      </c>
      <c r="E19" s="19" t="n">
        <f aca="false">D19/(1+Forudsætninger!$B$6)</f>
        <v>20000</v>
      </c>
      <c r="F19" s="20" t="n">
        <v>12</v>
      </c>
      <c r="G19" s="9" t="n">
        <f aca="false">(YEAR(B19)-2026)*12+MONTH(B19)</f>
        <v>-3</v>
      </c>
      <c r="H19" s="9" t="n">
        <f aca="false">IF(AND(1&gt;=$G19,1&lt;=$G19+$F19-1),$E19/$F19,0)</f>
        <v>1666.66666666667</v>
      </c>
      <c r="I19" s="9" t="n">
        <f aca="false">IF(AND(2&gt;=$G19,2&lt;=$G19+$F19-1),$E19/$F19,0)</f>
        <v>1666.66666666667</v>
      </c>
      <c r="J19" s="9" t="n">
        <f aca="false">IF(AND(3&gt;=$G19,3&lt;=$G19+$F19-1),$E19/$F19,0)</f>
        <v>1666.66666666667</v>
      </c>
      <c r="K19" s="9" t="n">
        <f aca="false">IF(AND(4&gt;=$G19,4&lt;=$G19+$F19-1),$E19/$F19,0)</f>
        <v>1666.66666666667</v>
      </c>
      <c r="L19" s="9" t="n">
        <f aca="false">IF(AND(5&gt;=$G19,5&lt;=$G19+$F19-1),$E19/$F19,0)</f>
        <v>1666.66666666667</v>
      </c>
      <c r="M19" s="9" t="n">
        <f aca="false">IF(AND(6&gt;=$G19,6&lt;=$G19+$F19-1),$E19/$F19,0)</f>
        <v>1666.66666666667</v>
      </c>
      <c r="N19" s="9" t="n">
        <f aca="false">IF(AND(7&gt;=$G19,7&lt;=$G19+$F19-1),$E19/$F19,0)</f>
        <v>1666.66666666667</v>
      </c>
      <c r="O19" s="9" t="n">
        <f aca="false">IF(AND(8&gt;=$G19,8&lt;=$G19+$F19-1),$E19/$F19,0)</f>
        <v>1666.66666666667</v>
      </c>
      <c r="P19" s="9" t="n">
        <f aca="false">IF(AND(9&gt;=$G19,9&lt;=$G19+$F19-1),$E19/$F19,0)</f>
        <v>0</v>
      </c>
      <c r="Q19" s="9" t="n">
        <f aca="false">IF(AND(10&gt;=$G19,10&lt;=$G19+$F19-1),$E19/$F19,0)</f>
        <v>0</v>
      </c>
      <c r="R19" s="9" t="n">
        <f aca="false">IF(AND(11&gt;=$G19,11&lt;=$G19+$F19-1),$E19/$F19,0)</f>
        <v>0</v>
      </c>
      <c r="S19" s="9" t="n">
        <f aca="false">IF(AND(12&gt;=$G19,12&lt;=$G19+$F19-1),$E19/$F19,0)</f>
        <v>0</v>
      </c>
      <c r="T19" s="9" t="n">
        <f aca="false">SUM(H19:S19)</f>
        <v>13333.3333333333</v>
      </c>
      <c r="U19" s="9" t="n">
        <f aca="false">$E19/$F19*MAX(0,MIN($F19,1-$G19))</f>
        <v>6666.66666666667</v>
      </c>
      <c r="V19" s="9" t="n">
        <f aca="false">E19-T19-U19</f>
        <v>0</v>
      </c>
    </row>
    <row r="20" customFormat="false" ht="15" hidden="false" customHeight="false" outlineLevel="0" collapsed="false">
      <c r="A20" s="7" t="s">
        <v>118</v>
      </c>
      <c r="B20" s="23" t="n">
        <v>45911</v>
      </c>
      <c r="C20" s="7" t="s">
        <v>103</v>
      </c>
      <c r="D20" s="18" t="n">
        <v>4312.5</v>
      </c>
      <c r="E20" s="19" t="n">
        <f aca="false">D20/(1+Forudsætninger!$B$6)</f>
        <v>3450</v>
      </c>
      <c r="F20" s="20" t="n">
        <v>12</v>
      </c>
      <c r="G20" s="9" t="n">
        <f aca="false">(YEAR(B20)-2026)*12+MONTH(B20)</f>
        <v>-3</v>
      </c>
      <c r="H20" s="9" t="n">
        <f aca="false">IF(AND(1&gt;=$G20,1&lt;=$G20+$F20-1),$E20/$F20,0)</f>
        <v>287.5</v>
      </c>
      <c r="I20" s="9" t="n">
        <f aca="false">IF(AND(2&gt;=$G20,2&lt;=$G20+$F20-1),$E20/$F20,0)</f>
        <v>287.5</v>
      </c>
      <c r="J20" s="9" t="n">
        <f aca="false">IF(AND(3&gt;=$G20,3&lt;=$G20+$F20-1),$E20/$F20,0)</f>
        <v>287.5</v>
      </c>
      <c r="K20" s="9" t="n">
        <f aca="false">IF(AND(4&gt;=$G20,4&lt;=$G20+$F20-1),$E20/$F20,0)</f>
        <v>287.5</v>
      </c>
      <c r="L20" s="9" t="n">
        <f aca="false">IF(AND(5&gt;=$G20,5&lt;=$G20+$F20-1),$E20/$F20,0)</f>
        <v>287.5</v>
      </c>
      <c r="M20" s="9" t="n">
        <f aca="false">IF(AND(6&gt;=$G20,6&lt;=$G20+$F20-1),$E20/$F20,0)</f>
        <v>287.5</v>
      </c>
      <c r="N20" s="9" t="n">
        <f aca="false">IF(AND(7&gt;=$G20,7&lt;=$G20+$F20-1),$E20/$F20,0)</f>
        <v>287.5</v>
      </c>
      <c r="O20" s="9" t="n">
        <f aca="false">IF(AND(8&gt;=$G20,8&lt;=$G20+$F20-1),$E20/$F20,0)</f>
        <v>287.5</v>
      </c>
      <c r="P20" s="9" t="n">
        <f aca="false">IF(AND(9&gt;=$G20,9&lt;=$G20+$F20-1),$E20/$F20,0)</f>
        <v>0</v>
      </c>
      <c r="Q20" s="9" t="n">
        <f aca="false">IF(AND(10&gt;=$G20,10&lt;=$G20+$F20-1),$E20/$F20,0)</f>
        <v>0</v>
      </c>
      <c r="R20" s="9" t="n">
        <f aca="false">IF(AND(11&gt;=$G20,11&lt;=$G20+$F20-1),$E20/$F20,0)</f>
        <v>0</v>
      </c>
      <c r="S20" s="9" t="n">
        <f aca="false">IF(AND(12&gt;=$G20,12&lt;=$G20+$F20-1),$E20/$F20,0)</f>
        <v>0</v>
      </c>
      <c r="T20" s="9" t="n">
        <f aca="false">SUM(H20:S20)</f>
        <v>2300</v>
      </c>
      <c r="U20" s="9" t="n">
        <f aca="false">$E20/$F20*MAX(0,MIN($F20,1-$G20))</f>
        <v>1150</v>
      </c>
      <c r="V20" s="9" t="n">
        <f aca="false">E20-T20-U20</f>
        <v>0</v>
      </c>
    </row>
    <row r="21" customFormat="false" ht="15" hidden="false" customHeight="false" outlineLevel="0" collapsed="false">
      <c r="A21" s="7" t="s">
        <v>119</v>
      </c>
      <c r="B21" s="23" t="n">
        <v>45959</v>
      </c>
      <c r="C21" s="7" t="s">
        <v>116</v>
      </c>
      <c r="D21" s="18" t="n">
        <v>50000</v>
      </c>
      <c r="E21" s="19" t="n">
        <f aca="false">D21/(1+Forudsætninger!$B$6)</f>
        <v>40000</v>
      </c>
      <c r="F21" s="20" t="n">
        <v>12</v>
      </c>
      <c r="G21" s="9" t="n">
        <f aca="false">(YEAR(B21)-2026)*12+MONTH(B21)</f>
        <v>-2</v>
      </c>
      <c r="H21" s="9" t="n">
        <f aca="false">IF(AND(1&gt;=$G21,1&lt;=$G21+$F21-1),$E21/$F21,0)</f>
        <v>3333.33333333333</v>
      </c>
      <c r="I21" s="9" t="n">
        <f aca="false">IF(AND(2&gt;=$G21,2&lt;=$G21+$F21-1),$E21/$F21,0)</f>
        <v>3333.33333333333</v>
      </c>
      <c r="J21" s="9" t="n">
        <f aca="false">IF(AND(3&gt;=$G21,3&lt;=$G21+$F21-1),$E21/$F21,0)</f>
        <v>3333.33333333333</v>
      </c>
      <c r="K21" s="9" t="n">
        <f aca="false">IF(AND(4&gt;=$G21,4&lt;=$G21+$F21-1),$E21/$F21,0)</f>
        <v>3333.33333333333</v>
      </c>
      <c r="L21" s="9" t="n">
        <f aca="false">IF(AND(5&gt;=$G21,5&lt;=$G21+$F21-1),$E21/$F21,0)</f>
        <v>3333.33333333333</v>
      </c>
      <c r="M21" s="9" t="n">
        <f aca="false">IF(AND(6&gt;=$G21,6&lt;=$G21+$F21-1),$E21/$F21,0)</f>
        <v>3333.33333333333</v>
      </c>
      <c r="N21" s="9" t="n">
        <f aca="false">IF(AND(7&gt;=$G21,7&lt;=$G21+$F21-1),$E21/$F21,0)</f>
        <v>3333.33333333333</v>
      </c>
      <c r="O21" s="9" t="n">
        <f aca="false">IF(AND(8&gt;=$G21,8&lt;=$G21+$F21-1),$E21/$F21,0)</f>
        <v>3333.33333333333</v>
      </c>
      <c r="P21" s="9" t="n">
        <f aca="false">IF(AND(9&gt;=$G21,9&lt;=$G21+$F21-1),$E21/$F21,0)</f>
        <v>3333.33333333333</v>
      </c>
      <c r="Q21" s="9" t="n">
        <f aca="false">IF(AND(10&gt;=$G21,10&lt;=$G21+$F21-1),$E21/$F21,0)</f>
        <v>0</v>
      </c>
      <c r="R21" s="9" t="n">
        <f aca="false">IF(AND(11&gt;=$G21,11&lt;=$G21+$F21-1),$E21/$F21,0)</f>
        <v>0</v>
      </c>
      <c r="S21" s="9" t="n">
        <f aca="false">IF(AND(12&gt;=$G21,12&lt;=$G21+$F21-1),$E21/$F21,0)</f>
        <v>0</v>
      </c>
      <c r="T21" s="9" t="n">
        <f aca="false">SUM(H21:S21)</f>
        <v>30000</v>
      </c>
      <c r="U21" s="9" t="n">
        <f aca="false">$E21/$F21*MAX(0,MIN($F21,1-$G21))</f>
        <v>10000</v>
      </c>
      <c r="V21" s="9" t="n">
        <f aca="false">E21-T21-U21</f>
        <v>0</v>
      </c>
    </row>
    <row r="22" customFormat="false" ht="15" hidden="false" customHeight="false" outlineLevel="0" collapsed="false">
      <c r="A22" s="7" t="s">
        <v>120</v>
      </c>
      <c r="B22" s="23" t="n">
        <v>45961</v>
      </c>
      <c r="C22" s="7" t="s">
        <v>103</v>
      </c>
      <c r="D22" s="18" t="n">
        <v>18750</v>
      </c>
      <c r="E22" s="19" t="n">
        <f aca="false">D22/(1+Forudsætninger!$B$6)</f>
        <v>15000</v>
      </c>
      <c r="F22" s="20" t="n">
        <v>12</v>
      </c>
      <c r="G22" s="9" t="n">
        <f aca="false">(YEAR(B22)-2026)*12+MONTH(B22)</f>
        <v>-2</v>
      </c>
      <c r="H22" s="9" t="n">
        <f aca="false">IF(AND(1&gt;=$G22,1&lt;=$G22+$F22-1),$E22/$F22,0)</f>
        <v>1250</v>
      </c>
      <c r="I22" s="9" t="n">
        <f aca="false">IF(AND(2&gt;=$G22,2&lt;=$G22+$F22-1),$E22/$F22,0)</f>
        <v>1250</v>
      </c>
      <c r="J22" s="9" t="n">
        <f aca="false">IF(AND(3&gt;=$G22,3&lt;=$G22+$F22-1),$E22/$F22,0)</f>
        <v>1250</v>
      </c>
      <c r="K22" s="9" t="n">
        <f aca="false">IF(AND(4&gt;=$G22,4&lt;=$G22+$F22-1),$E22/$F22,0)</f>
        <v>1250</v>
      </c>
      <c r="L22" s="9" t="n">
        <f aca="false">IF(AND(5&gt;=$G22,5&lt;=$G22+$F22-1),$E22/$F22,0)</f>
        <v>1250</v>
      </c>
      <c r="M22" s="9" t="n">
        <f aca="false">IF(AND(6&gt;=$G22,6&lt;=$G22+$F22-1),$E22/$F22,0)</f>
        <v>1250</v>
      </c>
      <c r="N22" s="9" t="n">
        <f aca="false">IF(AND(7&gt;=$G22,7&lt;=$G22+$F22-1),$E22/$F22,0)</f>
        <v>1250</v>
      </c>
      <c r="O22" s="9" t="n">
        <f aca="false">IF(AND(8&gt;=$G22,8&lt;=$G22+$F22-1),$E22/$F22,0)</f>
        <v>1250</v>
      </c>
      <c r="P22" s="9" t="n">
        <f aca="false">IF(AND(9&gt;=$G22,9&lt;=$G22+$F22-1),$E22/$F22,0)</f>
        <v>1250</v>
      </c>
      <c r="Q22" s="9" t="n">
        <f aca="false">IF(AND(10&gt;=$G22,10&lt;=$G22+$F22-1),$E22/$F22,0)</f>
        <v>0</v>
      </c>
      <c r="R22" s="9" t="n">
        <f aca="false">IF(AND(11&gt;=$G22,11&lt;=$G22+$F22-1),$E22/$F22,0)</f>
        <v>0</v>
      </c>
      <c r="S22" s="9" t="n">
        <f aca="false">IF(AND(12&gt;=$G22,12&lt;=$G22+$F22-1),$E22/$F22,0)</f>
        <v>0</v>
      </c>
      <c r="T22" s="9" t="n">
        <f aca="false">SUM(H22:S22)</f>
        <v>11250</v>
      </c>
      <c r="U22" s="9" t="n">
        <f aca="false">$E22/$F22*MAX(0,MIN($F22,1-$G22))</f>
        <v>3750</v>
      </c>
      <c r="V22" s="9" t="n">
        <f aca="false">E22-T22-U22</f>
        <v>0</v>
      </c>
    </row>
    <row r="23" customFormat="false" ht="15" hidden="false" customHeight="false" outlineLevel="0" collapsed="false">
      <c r="A23" s="7" t="s">
        <v>121</v>
      </c>
      <c r="B23" s="23" t="n">
        <v>45961</v>
      </c>
      <c r="C23" s="7" t="s">
        <v>103</v>
      </c>
      <c r="D23" s="18" t="n">
        <v>18750</v>
      </c>
      <c r="E23" s="19" t="n">
        <f aca="false">D23/(1+Forudsætninger!$B$6)</f>
        <v>15000</v>
      </c>
      <c r="F23" s="20" t="n">
        <v>12</v>
      </c>
      <c r="G23" s="9" t="n">
        <f aca="false">(YEAR(B23)-2026)*12+MONTH(B23)</f>
        <v>-2</v>
      </c>
      <c r="H23" s="9" t="n">
        <f aca="false">IF(AND(1&gt;=$G23,1&lt;=$G23+$F23-1),$E23/$F23,0)</f>
        <v>1250</v>
      </c>
      <c r="I23" s="9" t="n">
        <f aca="false">IF(AND(2&gt;=$G23,2&lt;=$G23+$F23-1),$E23/$F23,0)</f>
        <v>1250</v>
      </c>
      <c r="J23" s="9" t="n">
        <f aca="false">IF(AND(3&gt;=$G23,3&lt;=$G23+$F23-1),$E23/$F23,0)</f>
        <v>1250</v>
      </c>
      <c r="K23" s="9" t="n">
        <f aca="false">IF(AND(4&gt;=$G23,4&lt;=$G23+$F23-1),$E23/$F23,0)</f>
        <v>1250</v>
      </c>
      <c r="L23" s="9" t="n">
        <f aca="false">IF(AND(5&gt;=$G23,5&lt;=$G23+$F23-1),$E23/$F23,0)</f>
        <v>1250</v>
      </c>
      <c r="M23" s="9" t="n">
        <f aca="false">IF(AND(6&gt;=$G23,6&lt;=$G23+$F23-1),$E23/$F23,0)</f>
        <v>1250</v>
      </c>
      <c r="N23" s="9" t="n">
        <f aca="false">IF(AND(7&gt;=$G23,7&lt;=$G23+$F23-1),$E23/$F23,0)</f>
        <v>1250</v>
      </c>
      <c r="O23" s="9" t="n">
        <f aca="false">IF(AND(8&gt;=$G23,8&lt;=$G23+$F23-1),$E23/$F23,0)</f>
        <v>1250</v>
      </c>
      <c r="P23" s="9" t="n">
        <f aca="false">IF(AND(9&gt;=$G23,9&lt;=$G23+$F23-1),$E23/$F23,0)</f>
        <v>1250</v>
      </c>
      <c r="Q23" s="9" t="n">
        <f aca="false">IF(AND(10&gt;=$G23,10&lt;=$G23+$F23-1),$E23/$F23,0)</f>
        <v>0</v>
      </c>
      <c r="R23" s="9" t="n">
        <f aca="false">IF(AND(11&gt;=$G23,11&lt;=$G23+$F23-1),$E23/$F23,0)</f>
        <v>0</v>
      </c>
      <c r="S23" s="9" t="n">
        <f aca="false">IF(AND(12&gt;=$G23,12&lt;=$G23+$F23-1),$E23/$F23,0)</f>
        <v>0</v>
      </c>
      <c r="T23" s="9" t="n">
        <f aca="false">SUM(H23:S23)</f>
        <v>11250</v>
      </c>
      <c r="U23" s="9" t="n">
        <f aca="false">$E23/$F23*MAX(0,MIN($F23,1-$G23))</f>
        <v>3750</v>
      </c>
      <c r="V23" s="9" t="n">
        <f aca="false">E23-T23-U23</f>
        <v>0</v>
      </c>
    </row>
    <row r="24" customFormat="false" ht="15" hidden="false" customHeight="false" outlineLevel="0" collapsed="false">
      <c r="A24" s="24" t="s">
        <v>122</v>
      </c>
      <c r="B24" s="25"/>
      <c r="C24" s="25"/>
      <c r="D24" s="26" t="n">
        <f aca="false">SUM(D6:D23)</f>
        <v>579312.5</v>
      </c>
      <c r="E24" s="26" t="n">
        <f aca="false">SUM(E6:E23)</f>
        <v>463450</v>
      </c>
      <c r="F24" s="25"/>
      <c r="G24" s="25"/>
      <c r="H24" s="26" t="n">
        <f aca="false">SUM(H6:H23)</f>
        <v>38620.8333333333</v>
      </c>
      <c r="I24" s="26" t="n">
        <f aca="false">SUM(I6:I23)</f>
        <v>38620.8333333333</v>
      </c>
      <c r="J24" s="26" t="n">
        <f aca="false">SUM(J6:J23)</f>
        <v>38620.8333333333</v>
      </c>
      <c r="K24" s="26" t="n">
        <f aca="false">SUM(K6:K23)</f>
        <v>20287.5</v>
      </c>
      <c r="L24" s="26" t="n">
        <f aca="false">SUM(L6:L23)</f>
        <v>14454.1666666667</v>
      </c>
      <c r="M24" s="26" t="n">
        <f aca="false">SUM(M6:M23)</f>
        <v>11120.8333333333</v>
      </c>
      <c r="N24" s="26" t="n">
        <f aca="false">SUM(N6:N23)</f>
        <v>11120.8333333333</v>
      </c>
      <c r="O24" s="26" t="n">
        <f aca="false">SUM(O6:O23)</f>
        <v>7787.5</v>
      </c>
      <c r="P24" s="26" t="n">
        <f aca="false">SUM(P6:P23)</f>
        <v>5833.33333333333</v>
      </c>
      <c r="Q24" s="26" t="n">
        <f aca="false">SUM(Q6:Q23)</f>
        <v>0</v>
      </c>
      <c r="R24" s="26" t="n">
        <f aca="false">SUM(R6:R23)</f>
        <v>0</v>
      </c>
      <c r="S24" s="26" t="n">
        <f aca="false">SUM(S6:S23)</f>
        <v>0</v>
      </c>
      <c r="T24" s="26" t="n">
        <f aca="false">SUM(T6:T23)</f>
        <v>186466.666666667</v>
      </c>
      <c r="U24" s="26" t="n">
        <f aca="false">SUM(U6:U23)</f>
        <v>276983.333333333</v>
      </c>
      <c r="V24" s="26" t="n">
        <f aca="false">SUM(V6:V23)</f>
        <v>0</v>
      </c>
    </row>
    <row r="26" customFormat="false" ht="15" hidden="false" customHeight="false" outlineLevel="0" collapsed="false">
      <c r="A26" s="5" t="s">
        <v>123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customFormat="false" ht="15" hidden="false" customHeight="false" outlineLevel="0" collapsed="false">
      <c r="A27" s="7" t="s">
        <v>124</v>
      </c>
      <c r="B27" s="23" t="n">
        <v>46042</v>
      </c>
      <c r="C27" s="7" t="s">
        <v>103</v>
      </c>
      <c r="D27" s="18" t="n">
        <v>12500</v>
      </c>
      <c r="E27" s="19" t="n">
        <f aca="false">D27/(1+Forudsætninger!$B$6)</f>
        <v>10000</v>
      </c>
      <c r="F27" s="20" t="n">
        <v>12</v>
      </c>
      <c r="G27" s="9" t="n">
        <f aca="false">(YEAR(B27)-2026)*12+MONTH(B27)</f>
        <v>1</v>
      </c>
      <c r="H27" s="9" t="n">
        <f aca="false">IF(AND(1&gt;=$G27,1&lt;=$G27+$F27-1),$E27/$F27,0)</f>
        <v>833.333333333333</v>
      </c>
      <c r="I27" s="9" t="n">
        <f aca="false">IF(AND(2&gt;=$G27,2&lt;=$G27+$F27-1),$E27/$F27,0)</f>
        <v>833.333333333333</v>
      </c>
      <c r="J27" s="9" t="n">
        <f aca="false">IF(AND(3&gt;=$G27,3&lt;=$G27+$F27-1),$E27/$F27,0)</f>
        <v>833.333333333333</v>
      </c>
      <c r="K27" s="9" t="n">
        <f aca="false">IF(AND(4&gt;=$G27,4&lt;=$G27+$F27-1),$E27/$F27,0)</f>
        <v>833.333333333333</v>
      </c>
      <c r="L27" s="9" t="n">
        <f aca="false">IF(AND(5&gt;=$G27,5&lt;=$G27+$F27-1),$E27/$F27,0)</f>
        <v>833.333333333333</v>
      </c>
      <c r="M27" s="9" t="n">
        <f aca="false">IF(AND(6&gt;=$G27,6&lt;=$G27+$F27-1),$E27/$F27,0)</f>
        <v>833.333333333333</v>
      </c>
      <c r="N27" s="9" t="n">
        <f aca="false">IF(AND(7&gt;=$G27,7&lt;=$G27+$F27-1),$E27/$F27,0)</f>
        <v>833.333333333333</v>
      </c>
      <c r="O27" s="9" t="n">
        <f aca="false">IF(AND(8&gt;=$G27,8&lt;=$G27+$F27-1),$E27/$F27,0)</f>
        <v>833.333333333333</v>
      </c>
      <c r="P27" s="9" t="n">
        <f aca="false">IF(AND(9&gt;=$G27,9&lt;=$G27+$F27-1),$E27/$F27,0)</f>
        <v>833.333333333333</v>
      </c>
      <c r="Q27" s="9" t="n">
        <f aca="false">IF(AND(10&gt;=$G27,10&lt;=$G27+$F27-1),$E27/$F27,0)</f>
        <v>833.333333333333</v>
      </c>
      <c r="R27" s="9" t="n">
        <f aca="false">IF(AND(11&gt;=$G27,11&lt;=$G27+$F27-1),$E27/$F27,0)</f>
        <v>833.333333333333</v>
      </c>
      <c r="S27" s="9" t="n">
        <f aca="false">IF(AND(12&gt;=$G27,12&lt;=$G27+$F27-1),$E27/$F27,0)</f>
        <v>833.333333333333</v>
      </c>
      <c r="T27" s="9" t="n">
        <f aca="false">SUM(H27:S27)</f>
        <v>10000</v>
      </c>
      <c r="U27" s="9" t="n">
        <f aca="false">$E27/$F27*MAX(0,MIN($F27,1-$G27))</f>
        <v>0</v>
      </c>
      <c r="V27" s="9" t="n">
        <f aca="false">E27-T27-U27</f>
        <v>0</v>
      </c>
    </row>
    <row r="28" customFormat="false" ht="15" hidden="false" customHeight="false" outlineLevel="0" collapsed="false">
      <c r="A28" s="7" t="s">
        <v>125</v>
      </c>
      <c r="B28" s="23" t="n">
        <v>46043</v>
      </c>
      <c r="C28" s="7" t="s">
        <v>116</v>
      </c>
      <c r="D28" s="18" t="n">
        <v>50000</v>
      </c>
      <c r="E28" s="19" t="n">
        <f aca="false">D28/(1+Forudsætninger!$B$6)</f>
        <v>40000</v>
      </c>
      <c r="F28" s="20" t="n">
        <v>12</v>
      </c>
      <c r="G28" s="9" t="n">
        <f aca="false">(YEAR(B28)-2026)*12+MONTH(B28)</f>
        <v>1</v>
      </c>
      <c r="H28" s="9" t="n">
        <f aca="false">IF(AND(1&gt;=$G28,1&lt;=$G28+$F28-1),$E28/$F28,0)</f>
        <v>3333.33333333333</v>
      </c>
      <c r="I28" s="9" t="n">
        <f aca="false">IF(AND(2&gt;=$G28,2&lt;=$G28+$F28-1),$E28/$F28,0)</f>
        <v>3333.33333333333</v>
      </c>
      <c r="J28" s="9" t="n">
        <f aca="false">IF(AND(3&gt;=$G28,3&lt;=$G28+$F28-1),$E28/$F28,0)</f>
        <v>3333.33333333333</v>
      </c>
      <c r="K28" s="9" t="n">
        <f aca="false">IF(AND(4&gt;=$G28,4&lt;=$G28+$F28-1),$E28/$F28,0)</f>
        <v>3333.33333333333</v>
      </c>
      <c r="L28" s="9" t="n">
        <f aca="false">IF(AND(5&gt;=$G28,5&lt;=$G28+$F28-1),$E28/$F28,0)</f>
        <v>3333.33333333333</v>
      </c>
      <c r="M28" s="9" t="n">
        <f aca="false">IF(AND(6&gt;=$G28,6&lt;=$G28+$F28-1),$E28/$F28,0)</f>
        <v>3333.33333333333</v>
      </c>
      <c r="N28" s="9" t="n">
        <f aca="false">IF(AND(7&gt;=$G28,7&lt;=$G28+$F28-1),$E28/$F28,0)</f>
        <v>3333.33333333333</v>
      </c>
      <c r="O28" s="9" t="n">
        <f aca="false">IF(AND(8&gt;=$G28,8&lt;=$G28+$F28-1),$E28/$F28,0)</f>
        <v>3333.33333333333</v>
      </c>
      <c r="P28" s="9" t="n">
        <f aca="false">IF(AND(9&gt;=$G28,9&lt;=$G28+$F28-1),$E28/$F28,0)</f>
        <v>3333.33333333333</v>
      </c>
      <c r="Q28" s="9" t="n">
        <f aca="false">IF(AND(10&gt;=$G28,10&lt;=$G28+$F28-1),$E28/$F28,0)</f>
        <v>3333.33333333333</v>
      </c>
      <c r="R28" s="9" t="n">
        <f aca="false">IF(AND(11&gt;=$G28,11&lt;=$G28+$F28-1),$E28/$F28,0)</f>
        <v>3333.33333333333</v>
      </c>
      <c r="S28" s="9" t="n">
        <f aca="false">IF(AND(12&gt;=$G28,12&lt;=$G28+$F28-1),$E28/$F28,0)</f>
        <v>3333.33333333333</v>
      </c>
      <c r="T28" s="9" t="n">
        <f aca="false">SUM(H28:S28)</f>
        <v>40000</v>
      </c>
      <c r="U28" s="9" t="n">
        <f aca="false">$E28/$F28*MAX(0,MIN($F28,1-$G28))</f>
        <v>0</v>
      </c>
      <c r="V28" s="9" t="n">
        <f aca="false">E28-T28-U28</f>
        <v>0</v>
      </c>
    </row>
    <row r="29" customFormat="false" ht="15" hidden="false" customHeight="false" outlineLevel="0" collapsed="false">
      <c r="A29" s="7" t="s">
        <v>126</v>
      </c>
      <c r="B29" s="23" t="n">
        <v>46078</v>
      </c>
      <c r="C29" s="7" t="s">
        <v>103</v>
      </c>
      <c r="D29" s="18" t="n">
        <v>50000</v>
      </c>
      <c r="E29" s="19" t="n">
        <f aca="false">D29/(1+Forudsætninger!$B$6)</f>
        <v>40000</v>
      </c>
      <c r="F29" s="20" t="n">
        <v>12</v>
      </c>
      <c r="G29" s="9" t="n">
        <f aca="false">(YEAR(B29)-2026)*12+MONTH(B29)</f>
        <v>2</v>
      </c>
      <c r="H29" s="9" t="n">
        <f aca="false">IF(AND(1&gt;=$G29,1&lt;=$G29+$F29-1),$E29/$F29,0)</f>
        <v>0</v>
      </c>
      <c r="I29" s="9" t="n">
        <f aca="false">IF(AND(2&gt;=$G29,2&lt;=$G29+$F29-1),$E29/$F29,0)</f>
        <v>3333.33333333333</v>
      </c>
      <c r="J29" s="9" t="n">
        <f aca="false">IF(AND(3&gt;=$G29,3&lt;=$G29+$F29-1),$E29/$F29,0)</f>
        <v>3333.33333333333</v>
      </c>
      <c r="K29" s="9" t="n">
        <f aca="false">IF(AND(4&gt;=$G29,4&lt;=$G29+$F29-1),$E29/$F29,0)</f>
        <v>3333.33333333333</v>
      </c>
      <c r="L29" s="9" t="n">
        <f aca="false">IF(AND(5&gt;=$G29,5&lt;=$G29+$F29-1),$E29/$F29,0)</f>
        <v>3333.33333333333</v>
      </c>
      <c r="M29" s="9" t="n">
        <f aca="false">IF(AND(6&gt;=$G29,6&lt;=$G29+$F29-1),$E29/$F29,0)</f>
        <v>3333.33333333333</v>
      </c>
      <c r="N29" s="9" t="n">
        <f aca="false">IF(AND(7&gt;=$G29,7&lt;=$G29+$F29-1),$E29/$F29,0)</f>
        <v>3333.33333333333</v>
      </c>
      <c r="O29" s="9" t="n">
        <f aca="false">IF(AND(8&gt;=$G29,8&lt;=$G29+$F29-1),$E29/$F29,0)</f>
        <v>3333.33333333333</v>
      </c>
      <c r="P29" s="9" t="n">
        <f aca="false">IF(AND(9&gt;=$G29,9&lt;=$G29+$F29-1),$E29/$F29,0)</f>
        <v>3333.33333333333</v>
      </c>
      <c r="Q29" s="9" t="n">
        <f aca="false">IF(AND(10&gt;=$G29,10&lt;=$G29+$F29-1),$E29/$F29,0)</f>
        <v>3333.33333333333</v>
      </c>
      <c r="R29" s="9" t="n">
        <f aca="false">IF(AND(11&gt;=$G29,11&lt;=$G29+$F29-1),$E29/$F29,0)</f>
        <v>3333.33333333333</v>
      </c>
      <c r="S29" s="9" t="n">
        <f aca="false">IF(AND(12&gt;=$G29,12&lt;=$G29+$F29-1),$E29/$F29,0)</f>
        <v>3333.33333333333</v>
      </c>
      <c r="T29" s="9" t="n">
        <f aca="false">SUM(H29:S29)</f>
        <v>36666.6666666667</v>
      </c>
      <c r="U29" s="9" t="n">
        <f aca="false">$E29/$F29*MAX(0,MIN($F29,1-$G29))</f>
        <v>0</v>
      </c>
      <c r="V29" s="9" t="n">
        <f aca="false">E29-T29-U29</f>
        <v>3333.33333333333</v>
      </c>
    </row>
    <row r="30" customFormat="false" ht="15" hidden="false" customHeight="false" outlineLevel="0" collapsed="false">
      <c r="A30" s="7" t="s">
        <v>127</v>
      </c>
      <c r="B30" s="23" t="n">
        <v>46084</v>
      </c>
      <c r="C30" s="7" t="s">
        <v>103</v>
      </c>
      <c r="D30" s="18" t="n">
        <v>43762.5</v>
      </c>
      <c r="E30" s="19" t="n">
        <f aca="false">D30/(1+Forudsætninger!$B$6)</f>
        <v>35010</v>
      </c>
      <c r="F30" s="20" t="n">
        <v>12</v>
      </c>
      <c r="G30" s="9" t="n">
        <f aca="false">(YEAR(B30)-2026)*12+MONTH(B30)</f>
        <v>3</v>
      </c>
      <c r="H30" s="9" t="n">
        <f aca="false">IF(AND(1&gt;=$G30,1&lt;=$G30+$F30-1),$E30/$F30,0)</f>
        <v>0</v>
      </c>
      <c r="I30" s="9" t="n">
        <f aca="false">IF(AND(2&gt;=$G30,2&lt;=$G30+$F30-1),$E30/$F30,0)</f>
        <v>0</v>
      </c>
      <c r="J30" s="9" t="n">
        <f aca="false">IF(AND(3&gt;=$G30,3&lt;=$G30+$F30-1),$E30/$F30,0)</f>
        <v>2917.5</v>
      </c>
      <c r="K30" s="9" t="n">
        <f aca="false">IF(AND(4&gt;=$G30,4&lt;=$G30+$F30-1),$E30/$F30,0)</f>
        <v>2917.5</v>
      </c>
      <c r="L30" s="9" t="n">
        <f aca="false">IF(AND(5&gt;=$G30,5&lt;=$G30+$F30-1),$E30/$F30,0)</f>
        <v>2917.5</v>
      </c>
      <c r="M30" s="9" t="n">
        <f aca="false">IF(AND(6&gt;=$G30,6&lt;=$G30+$F30-1),$E30/$F30,0)</f>
        <v>2917.5</v>
      </c>
      <c r="N30" s="9" t="n">
        <f aca="false">IF(AND(7&gt;=$G30,7&lt;=$G30+$F30-1),$E30/$F30,0)</f>
        <v>2917.5</v>
      </c>
      <c r="O30" s="9" t="n">
        <f aca="false">IF(AND(8&gt;=$G30,8&lt;=$G30+$F30-1),$E30/$F30,0)</f>
        <v>2917.5</v>
      </c>
      <c r="P30" s="9" t="n">
        <f aca="false">IF(AND(9&gt;=$G30,9&lt;=$G30+$F30-1),$E30/$F30,0)</f>
        <v>2917.5</v>
      </c>
      <c r="Q30" s="9" t="n">
        <f aca="false">IF(AND(10&gt;=$G30,10&lt;=$G30+$F30-1),$E30/$F30,0)</f>
        <v>2917.5</v>
      </c>
      <c r="R30" s="9" t="n">
        <f aca="false">IF(AND(11&gt;=$G30,11&lt;=$G30+$F30-1),$E30/$F30,0)</f>
        <v>2917.5</v>
      </c>
      <c r="S30" s="9" t="n">
        <f aca="false">IF(AND(12&gt;=$G30,12&lt;=$G30+$F30-1),$E30/$F30,0)</f>
        <v>2917.5</v>
      </c>
      <c r="T30" s="9" t="n">
        <f aca="false">SUM(H30:S30)</f>
        <v>29175</v>
      </c>
      <c r="U30" s="9" t="n">
        <f aca="false">$E30/$F30*MAX(0,MIN($F30,1-$G30))</f>
        <v>0</v>
      </c>
      <c r="V30" s="9" t="n">
        <f aca="false">E30-T30-U30</f>
        <v>5835</v>
      </c>
    </row>
    <row r="31" customFormat="false" ht="15" hidden="false" customHeight="false" outlineLevel="0" collapsed="false">
      <c r="A31" s="7" t="s">
        <v>128</v>
      </c>
      <c r="B31" s="23" t="n">
        <v>46153</v>
      </c>
      <c r="C31" s="7" t="s">
        <v>116</v>
      </c>
      <c r="D31" s="18" t="n">
        <v>62500</v>
      </c>
      <c r="E31" s="19" t="n">
        <f aca="false">D31/(1+Forudsætninger!$B$6)</f>
        <v>50000</v>
      </c>
      <c r="F31" s="20" t="n">
        <v>12</v>
      </c>
      <c r="G31" s="9" t="n">
        <f aca="false">(YEAR(B31)-2026)*12+MONTH(B31)</f>
        <v>5</v>
      </c>
      <c r="H31" s="9" t="n">
        <f aca="false">IF(AND(1&gt;=$G31,1&lt;=$G31+$F31-1),$E31/$F31,0)</f>
        <v>0</v>
      </c>
      <c r="I31" s="9" t="n">
        <f aca="false">IF(AND(2&gt;=$G31,2&lt;=$G31+$F31-1),$E31/$F31,0)</f>
        <v>0</v>
      </c>
      <c r="J31" s="9" t="n">
        <f aca="false">IF(AND(3&gt;=$G31,3&lt;=$G31+$F31-1),$E31/$F31,0)</f>
        <v>0</v>
      </c>
      <c r="K31" s="9" t="n">
        <f aca="false">IF(AND(4&gt;=$G31,4&lt;=$G31+$F31-1),$E31/$F31,0)</f>
        <v>0</v>
      </c>
      <c r="L31" s="9" t="n">
        <f aca="false">IF(AND(5&gt;=$G31,5&lt;=$G31+$F31-1),$E31/$F31,0)</f>
        <v>4166.66666666667</v>
      </c>
      <c r="M31" s="9" t="n">
        <f aca="false">IF(AND(6&gt;=$G31,6&lt;=$G31+$F31-1),$E31/$F31,0)</f>
        <v>4166.66666666667</v>
      </c>
      <c r="N31" s="9" t="n">
        <f aca="false">IF(AND(7&gt;=$G31,7&lt;=$G31+$F31-1),$E31/$F31,0)</f>
        <v>4166.66666666667</v>
      </c>
      <c r="O31" s="9" t="n">
        <f aca="false">IF(AND(8&gt;=$G31,8&lt;=$G31+$F31-1),$E31/$F31,0)</f>
        <v>4166.66666666667</v>
      </c>
      <c r="P31" s="9" t="n">
        <f aca="false">IF(AND(9&gt;=$G31,9&lt;=$G31+$F31-1),$E31/$F31,0)</f>
        <v>4166.66666666667</v>
      </c>
      <c r="Q31" s="9" t="n">
        <f aca="false">IF(AND(10&gt;=$G31,10&lt;=$G31+$F31-1),$E31/$F31,0)</f>
        <v>4166.66666666667</v>
      </c>
      <c r="R31" s="9" t="n">
        <f aca="false">IF(AND(11&gt;=$G31,11&lt;=$G31+$F31-1),$E31/$F31,0)</f>
        <v>4166.66666666667</v>
      </c>
      <c r="S31" s="9" t="n">
        <f aca="false">IF(AND(12&gt;=$G31,12&lt;=$G31+$F31-1),$E31/$F31,0)</f>
        <v>4166.66666666667</v>
      </c>
      <c r="T31" s="9" t="n">
        <f aca="false">SUM(H31:S31)</f>
        <v>33333.3333333333</v>
      </c>
      <c r="U31" s="9" t="n">
        <f aca="false">$E31/$F31*MAX(0,MIN($F31,1-$G31))</f>
        <v>0</v>
      </c>
      <c r="V31" s="9" t="n">
        <f aca="false">E31-T31-U31</f>
        <v>16666.6666666667</v>
      </c>
    </row>
    <row r="32" customFormat="false" ht="15" hidden="false" customHeight="false" outlineLevel="0" collapsed="false">
      <c r="A32" s="7" t="s">
        <v>129</v>
      </c>
      <c r="B32" s="23" t="n">
        <v>46154</v>
      </c>
      <c r="C32" s="7" t="s">
        <v>103</v>
      </c>
      <c r="D32" s="18" t="n">
        <v>62500</v>
      </c>
      <c r="E32" s="19" t="n">
        <f aca="false">D32/(1+Forudsætninger!$B$6)</f>
        <v>50000</v>
      </c>
      <c r="F32" s="20" t="n">
        <v>12</v>
      </c>
      <c r="G32" s="9" t="n">
        <f aca="false">(YEAR(B32)-2026)*12+MONTH(B32)</f>
        <v>5</v>
      </c>
      <c r="H32" s="9" t="n">
        <f aca="false">IF(AND(1&gt;=$G32,1&lt;=$G32+$F32-1),$E32/$F32,0)</f>
        <v>0</v>
      </c>
      <c r="I32" s="9" t="n">
        <f aca="false">IF(AND(2&gt;=$G32,2&lt;=$G32+$F32-1),$E32/$F32,0)</f>
        <v>0</v>
      </c>
      <c r="J32" s="9" t="n">
        <f aca="false">IF(AND(3&gt;=$G32,3&lt;=$G32+$F32-1),$E32/$F32,0)</f>
        <v>0</v>
      </c>
      <c r="K32" s="9" t="n">
        <f aca="false">IF(AND(4&gt;=$G32,4&lt;=$G32+$F32-1),$E32/$F32,0)</f>
        <v>0</v>
      </c>
      <c r="L32" s="9" t="n">
        <f aca="false">IF(AND(5&gt;=$G32,5&lt;=$G32+$F32-1),$E32/$F32,0)</f>
        <v>4166.66666666667</v>
      </c>
      <c r="M32" s="9" t="n">
        <f aca="false">IF(AND(6&gt;=$G32,6&lt;=$G32+$F32-1),$E32/$F32,0)</f>
        <v>4166.66666666667</v>
      </c>
      <c r="N32" s="9" t="n">
        <f aca="false">IF(AND(7&gt;=$G32,7&lt;=$G32+$F32-1),$E32/$F32,0)</f>
        <v>4166.66666666667</v>
      </c>
      <c r="O32" s="9" t="n">
        <f aca="false">IF(AND(8&gt;=$G32,8&lt;=$G32+$F32-1),$E32/$F32,0)</f>
        <v>4166.66666666667</v>
      </c>
      <c r="P32" s="9" t="n">
        <f aca="false">IF(AND(9&gt;=$G32,9&lt;=$G32+$F32-1),$E32/$F32,0)</f>
        <v>4166.66666666667</v>
      </c>
      <c r="Q32" s="9" t="n">
        <f aca="false">IF(AND(10&gt;=$G32,10&lt;=$G32+$F32-1),$E32/$F32,0)</f>
        <v>4166.66666666667</v>
      </c>
      <c r="R32" s="9" t="n">
        <f aca="false">IF(AND(11&gt;=$G32,11&lt;=$G32+$F32-1),$E32/$F32,0)</f>
        <v>4166.66666666667</v>
      </c>
      <c r="S32" s="9" t="n">
        <f aca="false">IF(AND(12&gt;=$G32,12&lt;=$G32+$F32-1),$E32/$F32,0)</f>
        <v>4166.66666666667</v>
      </c>
      <c r="T32" s="9" t="n">
        <f aca="false">SUM(H32:S32)</f>
        <v>33333.3333333333</v>
      </c>
      <c r="U32" s="9" t="n">
        <f aca="false">$E32/$F32*MAX(0,MIN($F32,1-$G32))</f>
        <v>0</v>
      </c>
      <c r="V32" s="9" t="n">
        <f aca="false">E32-T32-U32</f>
        <v>16666.6666666667</v>
      </c>
    </row>
    <row r="33" customFormat="false" ht="15" hidden="false" customHeight="false" outlineLevel="0" collapsed="false">
      <c r="A33" s="7" t="s">
        <v>130</v>
      </c>
      <c r="B33" s="23" t="n">
        <v>46170</v>
      </c>
      <c r="C33" s="7" t="s">
        <v>103</v>
      </c>
      <c r="D33" s="18" t="n">
        <v>12500</v>
      </c>
      <c r="E33" s="19" t="n">
        <f aca="false">D33/(1+Forudsætninger!$B$6)</f>
        <v>10000</v>
      </c>
      <c r="F33" s="20" t="n">
        <v>12</v>
      </c>
      <c r="G33" s="9" t="n">
        <f aca="false">(YEAR(B33)-2026)*12+MONTH(B33)</f>
        <v>5</v>
      </c>
      <c r="H33" s="9" t="n">
        <f aca="false">IF(AND(1&gt;=$G33,1&lt;=$G33+$F33-1),$E33/$F33,0)</f>
        <v>0</v>
      </c>
      <c r="I33" s="9" t="n">
        <f aca="false">IF(AND(2&gt;=$G33,2&lt;=$G33+$F33-1),$E33/$F33,0)</f>
        <v>0</v>
      </c>
      <c r="J33" s="9" t="n">
        <f aca="false">IF(AND(3&gt;=$G33,3&lt;=$G33+$F33-1),$E33/$F33,0)</f>
        <v>0</v>
      </c>
      <c r="K33" s="9" t="n">
        <f aca="false">IF(AND(4&gt;=$G33,4&lt;=$G33+$F33-1),$E33/$F33,0)</f>
        <v>0</v>
      </c>
      <c r="L33" s="9" t="n">
        <f aca="false">IF(AND(5&gt;=$G33,5&lt;=$G33+$F33-1),$E33/$F33,0)</f>
        <v>833.333333333333</v>
      </c>
      <c r="M33" s="9" t="n">
        <f aca="false">IF(AND(6&gt;=$G33,6&lt;=$G33+$F33-1),$E33/$F33,0)</f>
        <v>833.333333333333</v>
      </c>
      <c r="N33" s="9" t="n">
        <f aca="false">IF(AND(7&gt;=$G33,7&lt;=$G33+$F33-1),$E33/$F33,0)</f>
        <v>833.333333333333</v>
      </c>
      <c r="O33" s="9" t="n">
        <f aca="false">IF(AND(8&gt;=$G33,8&lt;=$G33+$F33-1),$E33/$F33,0)</f>
        <v>833.333333333333</v>
      </c>
      <c r="P33" s="9" t="n">
        <f aca="false">IF(AND(9&gt;=$G33,9&lt;=$G33+$F33-1),$E33/$F33,0)</f>
        <v>833.333333333333</v>
      </c>
      <c r="Q33" s="9" t="n">
        <f aca="false">IF(AND(10&gt;=$G33,10&lt;=$G33+$F33-1),$E33/$F33,0)</f>
        <v>833.333333333333</v>
      </c>
      <c r="R33" s="9" t="n">
        <f aca="false">IF(AND(11&gt;=$G33,11&lt;=$G33+$F33-1),$E33/$F33,0)</f>
        <v>833.333333333333</v>
      </c>
      <c r="S33" s="9" t="n">
        <f aca="false">IF(AND(12&gt;=$G33,12&lt;=$G33+$F33-1),$E33/$F33,0)</f>
        <v>833.333333333333</v>
      </c>
      <c r="T33" s="9" t="n">
        <f aca="false">SUM(H33:S33)</f>
        <v>6666.66666666667</v>
      </c>
      <c r="U33" s="9" t="n">
        <f aca="false">$E33/$F33*MAX(0,MIN($F33,1-$G33))</f>
        <v>0</v>
      </c>
      <c r="V33" s="9" t="n">
        <f aca="false">E33-T33-U33</f>
        <v>3333.33333333333</v>
      </c>
    </row>
    <row r="34" customFormat="false" ht="15" hidden="false" customHeight="false" outlineLevel="0" collapsed="false">
      <c r="A34" s="7" t="s">
        <v>131</v>
      </c>
      <c r="B34" s="23" t="n">
        <v>46184</v>
      </c>
      <c r="C34" s="7" t="s">
        <v>103</v>
      </c>
      <c r="D34" s="18" t="n">
        <v>62500</v>
      </c>
      <c r="E34" s="19" t="n">
        <f aca="false">D34/(1+Forudsætninger!$B$6)</f>
        <v>50000</v>
      </c>
      <c r="F34" s="20" t="n">
        <v>12</v>
      </c>
      <c r="G34" s="9" t="n">
        <f aca="false">(YEAR(B34)-2026)*12+MONTH(B34)</f>
        <v>6</v>
      </c>
      <c r="H34" s="9" t="n">
        <f aca="false">IF(AND(1&gt;=$G34,1&lt;=$G34+$F34-1),$E34/$F34,0)</f>
        <v>0</v>
      </c>
      <c r="I34" s="9" t="n">
        <f aca="false">IF(AND(2&gt;=$G34,2&lt;=$G34+$F34-1),$E34/$F34,0)</f>
        <v>0</v>
      </c>
      <c r="J34" s="9" t="n">
        <f aca="false">IF(AND(3&gt;=$G34,3&lt;=$G34+$F34-1),$E34/$F34,0)</f>
        <v>0</v>
      </c>
      <c r="K34" s="9" t="n">
        <f aca="false">IF(AND(4&gt;=$G34,4&lt;=$G34+$F34-1),$E34/$F34,0)</f>
        <v>0</v>
      </c>
      <c r="L34" s="9" t="n">
        <f aca="false">IF(AND(5&gt;=$G34,5&lt;=$G34+$F34-1),$E34/$F34,0)</f>
        <v>0</v>
      </c>
      <c r="M34" s="9" t="n">
        <f aca="false">IF(AND(6&gt;=$G34,6&lt;=$G34+$F34-1),$E34/$F34,0)</f>
        <v>4166.66666666667</v>
      </c>
      <c r="N34" s="9" t="n">
        <f aca="false">IF(AND(7&gt;=$G34,7&lt;=$G34+$F34-1),$E34/$F34,0)</f>
        <v>4166.66666666667</v>
      </c>
      <c r="O34" s="9" t="n">
        <f aca="false">IF(AND(8&gt;=$G34,8&lt;=$G34+$F34-1),$E34/$F34,0)</f>
        <v>4166.66666666667</v>
      </c>
      <c r="P34" s="9" t="n">
        <f aca="false">IF(AND(9&gt;=$G34,9&lt;=$G34+$F34-1),$E34/$F34,0)</f>
        <v>4166.66666666667</v>
      </c>
      <c r="Q34" s="9" t="n">
        <f aca="false">IF(AND(10&gt;=$G34,10&lt;=$G34+$F34-1),$E34/$F34,0)</f>
        <v>4166.66666666667</v>
      </c>
      <c r="R34" s="9" t="n">
        <f aca="false">IF(AND(11&gt;=$G34,11&lt;=$G34+$F34-1),$E34/$F34,0)</f>
        <v>4166.66666666667</v>
      </c>
      <c r="S34" s="9" t="n">
        <f aca="false">IF(AND(12&gt;=$G34,12&lt;=$G34+$F34-1),$E34/$F34,0)</f>
        <v>4166.66666666667</v>
      </c>
      <c r="T34" s="9" t="n">
        <f aca="false">SUM(H34:S34)</f>
        <v>29166.6666666667</v>
      </c>
      <c r="U34" s="9" t="n">
        <f aca="false">$E34/$F34*MAX(0,MIN($F34,1-$G34))</f>
        <v>0</v>
      </c>
      <c r="V34" s="9" t="n">
        <f aca="false">E34-T34-U34</f>
        <v>20833.3333333333</v>
      </c>
    </row>
    <row r="35" customFormat="false" ht="15" hidden="false" customHeight="false" outlineLevel="0" collapsed="false">
      <c r="A35" s="7" t="s">
        <v>132</v>
      </c>
      <c r="B35" s="23" t="n">
        <v>46199</v>
      </c>
      <c r="C35" s="7" t="s">
        <v>116</v>
      </c>
      <c r="D35" s="18" t="n">
        <v>18750</v>
      </c>
      <c r="E35" s="19" t="n">
        <f aca="false">D35/(1+Forudsætninger!$B$6)</f>
        <v>15000</v>
      </c>
      <c r="F35" s="20" t="n">
        <v>12</v>
      </c>
      <c r="G35" s="9" t="n">
        <f aca="false">(YEAR(B35)-2026)*12+MONTH(B35)</f>
        <v>6</v>
      </c>
      <c r="H35" s="9" t="n">
        <f aca="false">IF(AND(1&gt;=$G35,1&lt;=$G35+$F35-1),$E35/$F35,0)</f>
        <v>0</v>
      </c>
      <c r="I35" s="9" t="n">
        <f aca="false">IF(AND(2&gt;=$G35,2&lt;=$G35+$F35-1),$E35/$F35,0)</f>
        <v>0</v>
      </c>
      <c r="J35" s="9" t="n">
        <f aca="false">IF(AND(3&gt;=$G35,3&lt;=$G35+$F35-1),$E35/$F35,0)</f>
        <v>0</v>
      </c>
      <c r="K35" s="9" t="n">
        <f aca="false">IF(AND(4&gt;=$G35,4&lt;=$G35+$F35-1),$E35/$F35,0)</f>
        <v>0</v>
      </c>
      <c r="L35" s="9" t="n">
        <f aca="false">IF(AND(5&gt;=$G35,5&lt;=$G35+$F35-1),$E35/$F35,0)</f>
        <v>0</v>
      </c>
      <c r="M35" s="9" t="n">
        <f aca="false">IF(AND(6&gt;=$G35,6&lt;=$G35+$F35-1),$E35/$F35,0)</f>
        <v>1250</v>
      </c>
      <c r="N35" s="9" t="n">
        <f aca="false">IF(AND(7&gt;=$G35,7&lt;=$G35+$F35-1),$E35/$F35,0)</f>
        <v>1250</v>
      </c>
      <c r="O35" s="9" t="n">
        <f aca="false">IF(AND(8&gt;=$G35,8&lt;=$G35+$F35-1),$E35/$F35,0)</f>
        <v>1250</v>
      </c>
      <c r="P35" s="9" t="n">
        <f aca="false">IF(AND(9&gt;=$G35,9&lt;=$G35+$F35-1),$E35/$F35,0)</f>
        <v>1250</v>
      </c>
      <c r="Q35" s="9" t="n">
        <f aca="false">IF(AND(10&gt;=$G35,10&lt;=$G35+$F35-1),$E35/$F35,0)</f>
        <v>1250</v>
      </c>
      <c r="R35" s="9" t="n">
        <f aca="false">IF(AND(11&gt;=$G35,11&lt;=$G35+$F35-1),$E35/$F35,0)</f>
        <v>1250</v>
      </c>
      <c r="S35" s="9" t="n">
        <f aca="false">IF(AND(12&gt;=$G35,12&lt;=$G35+$F35-1),$E35/$F35,0)</f>
        <v>1250</v>
      </c>
      <c r="T35" s="9" t="n">
        <f aca="false">SUM(H35:S35)</f>
        <v>8750</v>
      </c>
      <c r="U35" s="9" t="n">
        <f aca="false">$E35/$F35*MAX(0,MIN($F35,1-$G35))</f>
        <v>0</v>
      </c>
      <c r="V35" s="9" t="n">
        <f aca="false">E35-T35-U35</f>
        <v>6250</v>
      </c>
    </row>
    <row r="36" customFormat="false" ht="15" hidden="false" customHeight="false" outlineLevel="0" collapsed="false">
      <c r="A36" s="7" t="s">
        <v>133</v>
      </c>
      <c r="B36" s="23" t="n">
        <v>46254</v>
      </c>
      <c r="C36" s="7" t="s">
        <v>103</v>
      </c>
      <c r="D36" s="18" t="n">
        <v>25000</v>
      </c>
      <c r="E36" s="19" t="n">
        <f aca="false">D36/(1+Forudsætninger!$B$6)</f>
        <v>20000</v>
      </c>
      <c r="F36" s="20" t="n">
        <v>12</v>
      </c>
      <c r="G36" s="9" t="n">
        <f aca="false">(YEAR(B36)-2026)*12+MONTH(B36)</f>
        <v>8</v>
      </c>
      <c r="H36" s="9" t="n">
        <f aca="false">IF(AND(1&gt;=$G36,1&lt;=$G36+$F36-1),$E36/$F36,0)</f>
        <v>0</v>
      </c>
      <c r="I36" s="9" t="n">
        <f aca="false">IF(AND(2&gt;=$G36,2&lt;=$G36+$F36-1),$E36/$F36,0)</f>
        <v>0</v>
      </c>
      <c r="J36" s="9" t="n">
        <f aca="false">IF(AND(3&gt;=$G36,3&lt;=$G36+$F36-1),$E36/$F36,0)</f>
        <v>0</v>
      </c>
      <c r="K36" s="9" t="n">
        <f aca="false">IF(AND(4&gt;=$G36,4&lt;=$G36+$F36-1),$E36/$F36,0)</f>
        <v>0</v>
      </c>
      <c r="L36" s="9" t="n">
        <f aca="false">IF(AND(5&gt;=$G36,5&lt;=$G36+$F36-1),$E36/$F36,0)</f>
        <v>0</v>
      </c>
      <c r="M36" s="9" t="n">
        <f aca="false">IF(AND(6&gt;=$G36,6&lt;=$G36+$F36-1),$E36/$F36,0)</f>
        <v>0</v>
      </c>
      <c r="N36" s="9" t="n">
        <f aca="false">IF(AND(7&gt;=$G36,7&lt;=$G36+$F36-1),$E36/$F36,0)</f>
        <v>0</v>
      </c>
      <c r="O36" s="9" t="n">
        <f aca="false">IF(AND(8&gt;=$G36,8&lt;=$G36+$F36-1),$E36/$F36,0)</f>
        <v>1666.66666666667</v>
      </c>
      <c r="P36" s="9" t="n">
        <f aca="false">IF(AND(9&gt;=$G36,9&lt;=$G36+$F36-1),$E36/$F36,0)</f>
        <v>1666.66666666667</v>
      </c>
      <c r="Q36" s="9" t="n">
        <f aca="false">IF(AND(10&gt;=$G36,10&lt;=$G36+$F36-1),$E36/$F36,0)</f>
        <v>1666.66666666667</v>
      </c>
      <c r="R36" s="9" t="n">
        <f aca="false">IF(AND(11&gt;=$G36,11&lt;=$G36+$F36-1),$E36/$F36,0)</f>
        <v>1666.66666666667</v>
      </c>
      <c r="S36" s="9" t="n">
        <f aca="false">IF(AND(12&gt;=$G36,12&lt;=$G36+$F36-1),$E36/$F36,0)</f>
        <v>1666.66666666667</v>
      </c>
      <c r="T36" s="9" t="n">
        <f aca="false">SUM(H36:S36)</f>
        <v>8333.33333333333</v>
      </c>
      <c r="U36" s="9" t="n">
        <f aca="false">$E36/$F36*MAX(0,MIN($F36,1-$G36))</f>
        <v>0</v>
      </c>
      <c r="V36" s="9" t="n">
        <f aca="false">E36-T36-U36</f>
        <v>11666.6666666667</v>
      </c>
    </row>
    <row r="37" customFormat="false" ht="15" hidden="false" customHeight="false" outlineLevel="0" collapsed="false">
      <c r="A37" s="24" t="s">
        <v>134</v>
      </c>
      <c r="B37" s="25"/>
      <c r="C37" s="25"/>
      <c r="D37" s="26" t="n">
        <f aca="false">SUM(D27:D36)</f>
        <v>400012.5</v>
      </c>
      <c r="E37" s="26" t="n">
        <f aca="false">SUM(E27:E36)</f>
        <v>320010</v>
      </c>
      <c r="F37" s="25"/>
      <c r="G37" s="25"/>
      <c r="H37" s="26" t="n">
        <f aca="false">SUM(H27:H36)</f>
        <v>4166.66666666667</v>
      </c>
      <c r="I37" s="26" t="n">
        <f aca="false">SUM(I27:I36)</f>
        <v>7500</v>
      </c>
      <c r="J37" s="26" t="n">
        <f aca="false">SUM(J27:J36)</f>
        <v>10417.5</v>
      </c>
      <c r="K37" s="26" t="n">
        <f aca="false">SUM(K27:K36)</f>
        <v>10417.5</v>
      </c>
      <c r="L37" s="26" t="n">
        <f aca="false">SUM(L27:L36)</f>
        <v>19584.1666666667</v>
      </c>
      <c r="M37" s="26" t="n">
        <f aca="false">SUM(M27:M36)</f>
        <v>25000.8333333333</v>
      </c>
      <c r="N37" s="26" t="n">
        <f aca="false">SUM(N27:N36)</f>
        <v>25000.8333333333</v>
      </c>
      <c r="O37" s="26" t="n">
        <f aca="false">SUM(O27:O36)</f>
        <v>26667.5</v>
      </c>
      <c r="P37" s="26" t="n">
        <f aca="false">SUM(P27:P36)</f>
        <v>26667.5</v>
      </c>
      <c r="Q37" s="26" t="n">
        <f aca="false">SUM(Q27:Q36)</f>
        <v>26667.5</v>
      </c>
      <c r="R37" s="26" t="n">
        <f aca="false">SUM(R27:R36)</f>
        <v>26667.5</v>
      </c>
      <c r="S37" s="26" t="n">
        <f aca="false">SUM(S27:S36)</f>
        <v>26667.5</v>
      </c>
      <c r="T37" s="26" t="n">
        <f aca="false">SUM(T27:T36)</f>
        <v>235425</v>
      </c>
      <c r="U37" s="26" t="n">
        <f aca="false">SUM(U27:U36)</f>
        <v>0</v>
      </c>
      <c r="V37" s="26" t="n">
        <f aca="false">SUM(V27:V36)</f>
        <v>84585</v>
      </c>
    </row>
    <row r="39" customFormat="false" ht="15" hidden="false" customHeight="false" outlineLevel="0" collapsed="false">
      <c r="A39" s="5" t="s">
        <v>135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customFormat="false" ht="15" hidden="false" customHeight="false" outlineLevel="0" collapsed="false">
      <c r="A40" s="7" t="s">
        <v>136</v>
      </c>
      <c r="B40" s="27" t="s">
        <v>137</v>
      </c>
      <c r="C40" s="7" t="s">
        <v>138</v>
      </c>
      <c r="D40" s="19" t="n">
        <f aca="false">E40*(1+Forudsætninger!$B$6)</f>
        <v>62500</v>
      </c>
      <c r="E40" s="28" t="n">
        <f aca="false">Forudsætninger!$B$17*Forudsætninger!$B$18</f>
        <v>50000</v>
      </c>
      <c r="F40" s="20" t="n">
        <v>12</v>
      </c>
      <c r="G40" s="9" t="n">
        <v>9</v>
      </c>
      <c r="H40" s="9" t="n">
        <f aca="false">IF(AND(1&gt;=$G40,1&lt;=$G40+$F40-1),$E40/$F40,0)</f>
        <v>0</v>
      </c>
      <c r="I40" s="9" t="n">
        <f aca="false">IF(AND(2&gt;=$G40,2&lt;=$G40+$F40-1),$E40/$F40,0)</f>
        <v>0</v>
      </c>
      <c r="J40" s="9" t="n">
        <f aca="false">IF(AND(3&gt;=$G40,3&lt;=$G40+$F40-1),$E40/$F40,0)</f>
        <v>0</v>
      </c>
      <c r="K40" s="9" t="n">
        <f aca="false">IF(AND(4&gt;=$G40,4&lt;=$G40+$F40-1),$E40/$F40,0)</f>
        <v>0</v>
      </c>
      <c r="L40" s="9" t="n">
        <f aca="false">IF(AND(5&gt;=$G40,5&lt;=$G40+$F40-1),$E40/$F40,0)</f>
        <v>0</v>
      </c>
      <c r="M40" s="9" t="n">
        <f aca="false">IF(AND(6&gt;=$G40,6&lt;=$G40+$F40-1),$E40/$F40,0)</f>
        <v>0</v>
      </c>
      <c r="N40" s="9" t="n">
        <f aca="false">IF(AND(7&gt;=$G40,7&lt;=$G40+$F40-1),$E40/$F40,0)</f>
        <v>0</v>
      </c>
      <c r="O40" s="9" t="n">
        <f aca="false">IF(AND(8&gt;=$G40,8&lt;=$G40+$F40-1),$E40/$F40,0)</f>
        <v>0</v>
      </c>
      <c r="P40" s="9" t="n">
        <f aca="false">IF(AND(9&gt;=$G40,9&lt;=$G40+$F40-1),$E40/$F40,0)</f>
        <v>4166.66666666667</v>
      </c>
      <c r="Q40" s="9" t="n">
        <f aca="false">IF(AND(10&gt;=$G40,10&lt;=$G40+$F40-1),$E40/$F40,0)</f>
        <v>4166.66666666667</v>
      </c>
      <c r="R40" s="9" t="n">
        <f aca="false">IF(AND(11&gt;=$G40,11&lt;=$G40+$F40-1),$E40/$F40,0)</f>
        <v>4166.66666666667</v>
      </c>
      <c r="S40" s="9" t="n">
        <f aca="false">IF(AND(12&gt;=$G40,12&lt;=$G40+$F40-1),$E40/$F40,0)</f>
        <v>4166.66666666667</v>
      </c>
      <c r="T40" s="9" t="n">
        <f aca="false">SUM(H40:S40)</f>
        <v>16666.6666666667</v>
      </c>
      <c r="U40" s="9" t="n">
        <f aca="false">$E40/$F40*MAX(0,MIN($F40,1-$G40))</f>
        <v>0</v>
      </c>
      <c r="V40" s="9" t="n">
        <f aca="false">E40-T40-U40</f>
        <v>33333.3333333333</v>
      </c>
    </row>
    <row r="41" customFormat="false" ht="15" hidden="false" customHeight="false" outlineLevel="0" collapsed="false">
      <c r="A41" s="7" t="s">
        <v>139</v>
      </c>
      <c r="B41" s="27" t="s">
        <v>140</v>
      </c>
      <c r="C41" s="7" t="s">
        <v>138</v>
      </c>
      <c r="D41" s="19" t="n">
        <f aca="false">E41*(1+Forudsætninger!$B$6)</f>
        <v>62500</v>
      </c>
      <c r="E41" s="28" t="n">
        <f aca="false">Forudsætninger!$B$17*Forudsætninger!$B$18</f>
        <v>50000</v>
      </c>
      <c r="F41" s="20" t="n">
        <v>12</v>
      </c>
      <c r="G41" s="9" t="n">
        <v>10</v>
      </c>
      <c r="H41" s="9" t="n">
        <f aca="false">IF(AND(1&gt;=$G41,1&lt;=$G41+$F41-1),$E41/$F41,0)</f>
        <v>0</v>
      </c>
      <c r="I41" s="9" t="n">
        <f aca="false">IF(AND(2&gt;=$G41,2&lt;=$G41+$F41-1),$E41/$F41,0)</f>
        <v>0</v>
      </c>
      <c r="J41" s="9" t="n">
        <f aca="false">IF(AND(3&gt;=$G41,3&lt;=$G41+$F41-1),$E41/$F41,0)</f>
        <v>0</v>
      </c>
      <c r="K41" s="9" t="n">
        <f aca="false">IF(AND(4&gt;=$G41,4&lt;=$G41+$F41-1),$E41/$F41,0)</f>
        <v>0</v>
      </c>
      <c r="L41" s="9" t="n">
        <f aca="false">IF(AND(5&gt;=$G41,5&lt;=$G41+$F41-1),$E41/$F41,0)</f>
        <v>0</v>
      </c>
      <c r="M41" s="9" t="n">
        <f aca="false">IF(AND(6&gt;=$G41,6&lt;=$G41+$F41-1),$E41/$F41,0)</f>
        <v>0</v>
      </c>
      <c r="N41" s="9" t="n">
        <f aca="false">IF(AND(7&gt;=$G41,7&lt;=$G41+$F41-1),$E41/$F41,0)</f>
        <v>0</v>
      </c>
      <c r="O41" s="9" t="n">
        <f aca="false">IF(AND(8&gt;=$G41,8&lt;=$G41+$F41-1),$E41/$F41,0)</f>
        <v>0</v>
      </c>
      <c r="P41" s="9" t="n">
        <f aca="false">IF(AND(9&gt;=$G41,9&lt;=$G41+$F41-1),$E41/$F41,0)</f>
        <v>0</v>
      </c>
      <c r="Q41" s="9" t="n">
        <f aca="false">IF(AND(10&gt;=$G41,10&lt;=$G41+$F41-1),$E41/$F41,0)</f>
        <v>4166.66666666667</v>
      </c>
      <c r="R41" s="9" t="n">
        <f aca="false">IF(AND(11&gt;=$G41,11&lt;=$G41+$F41-1),$E41/$F41,0)</f>
        <v>4166.66666666667</v>
      </c>
      <c r="S41" s="9" t="n">
        <f aca="false">IF(AND(12&gt;=$G41,12&lt;=$G41+$F41-1),$E41/$F41,0)</f>
        <v>4166.66666666667</v>
      </c>
      <c r="T41" s="9" t="n">
        <f aca="false">SUM(H41:S41)</f>
        <v>12500</v>
      </c>
      <c r="U41" s="9" t="n">
        <f aca="false">$E41/$F41*MAX(0,MIN($F41,1-$G41))</f>
        <v>0</v>
      </c>
      <c r="V41" s="9" t="n">
        <f aca="false">E41-T41-U41</f>
        <v>37500</v>
      </c>
    </row>
    <row r="42" customFormat="false" ht="15" hidden="false" customHeight="false" outlineLevel="0" collapsed="false">
      <c r="A42" s="7" t="s">
        <v>141</v>
      </c>
      <c r="B42" s="27" t="s">
        <v>142</v>
      </c>
      <c r="C42" s="7" t="s">
        <v>138</v>
      </c>
      <c r="D42" s="19" t="n">
        <f aca="false">E42*(1+Forudsætninger!$B$6)</f>
        <v>62500</v>
      </c>
      <c r="E42" s="28" t="n">
        <f aca="false">Forudsætninger!$B$17*Forudsætninger!$B$18</f>
        <v>50000</v>
      </c>
      <c r="F42" s="20" t="n">
        <v>12</v>
      </c>
      <c r="G42" s="9" t="n">
        <v>11</v>
      </c>
      <c r="H42" s="9" t="n">
        <f aca="false">IF(AND(1&gt;=$G42,1&lt;=$G42+$F42-1),$E42/$F42,0)</f>
        <v>0</v>
      </c>
      <c r="I42" s="9" t="n">
        <f aca="false">IF(AND(2&gt;=$G42,2&lt;=$G42+$F42-1),$E42/$F42,0)</f>
        <v>0</v>
      </c>
      <c r="J42" s="9" t="n">
        <f aca="false">IF(AND(3&gt;=$G42,3&lt;=$G42+$F42-1),$E42/$F42,0)</f>
        <v>0</v>
      </c>
      <c r="K42" s="9" t="n">
        <f aca="false">IF(AND(4&gt;=$G42,4&lt;=$G42+$F42-1),$E42/$F42,0)</f>
        <v>0</v>
      </c>
      <c r="L42" s="9" t="n">
        <f aca="false">IF(AND(5&gt;=$G42,5&lt;=$G42+$F42-1),$E42/$F42,0)</f>
        <v>0</v>
      </c>
      <c r="M42" s="9" t="n">
        <f aca="false">IF(AND(6&gt;=$G42,6&lt;=$G42+$F42-1),$E42/$F42,0)</f>
        <v>0</v>
      </c>
      <c r="N42" s="9" t="n">
        <f aca="false">IF(AND(7&gt;=$G42,7&lt;=$G42+$F42-1),$E42/$F42,0)</f>
        <v>0</v>
      </c>
      <c r="O42" s="9" t="n">
        <f aca="false">IF(AND(8&gt;=$G42,8&lt;=$G42+$F42-1),$E42/$F42,0)</f>
        <v>0</v>
      </c>
      <c r="P42" s="9" t="n">
        <f aca="false">IF(AND(9&gt;=$G42,9&lt;=$G42+$F42-1),$E42/$F42,0)</f>
        <v>0</v>
      </c>
      <c r="Q42" s="9" t="n">
        <f aca="false">IF(AND(10&gt;=$G42,10&lt;=$G42+$F42-1),$E42/$F42,0)</f>
        <v>0</v>
      </c>
      <c r="R42" s="9" t="n">
        <f aca="false">IF(AND(11&gt;=$G42,11&lt;=$G42+$F42-1),$E42/$F42,0)</f>
        <v>4166.66666666667</v>
      </c>
      <c r="S42" s="9" t="n">
        <f aca="false">IF(AND(12&gt;=$G42,12&lt;=$G42+$F42-1),$E42/$F42,0)</f>
        <v>4166.66666666667</v>
      </c>
      <c r="T42" s="9" t="n">
        <f aca="false">SUM(H42:S42)</f>
        <v>8333.33333333333</v>
      </c>
      <c r="U42" s="9" t="n">
        <f aca="false">$E42/$F42*MAX(0,MIN($F42,1-$G42))</f>
        <v>0</v>
      </c>
      <c r="V42" s="9" t="n">
        <f aca="false">E42-T42-U42</f>
        <v>41666.6666666667</v>
      </c>
    </row>
    <row r="43" customFormat="false" ht="15" hidden="false" customHeight="false" outlineLevel="0" collapsed="false">
      <c r="A43" s="7" t="s">
        <v>143</v>
      </c>
      <c r="B43" s="27" t="s">
        <v>144</v>
      </c>
      <c r="C43" s="7" t="s">
        <v>138</v>
      </c>
      <c r="D43" s="19" t="n">
        <f aca="false">E43*(1+Forudsætninger!$B$6)</f>
        <v>62500</v>
      </c>
      <c r="E43" s="28" t="n">
        <f aca="false">Forudsætninger!$B$17*Forudsætninger!$B$18</f>
        <v>50000</v>
      </c>
      <c r="F43" s="20" t="n">
        <v>12</v>
      </c>
      <c r="G43" s="9" t="n">
        <v>12</v>
      </c>
      <c r="H43" s="9" t="n">
        <f aca="false">IF(AND(1&gt;=$G43,1&lt;=$G43+$F43-1),$E43/$F43,0)</f>
        <v>0</v>
      </c>
      <c r="I43" s="9" t="n">
        <f aca="false">IF(AND(2&gt;=$G43,2&lt;=$G43+$F43-1),$E43/$F43,0)</f>
        <v>0</v>
      </c>
      <c r="J43" s="9" t="n">
        <f aca="false">IF(AND(3&gt;=$G43,3&lt;=$G43+$F43-1),$E43/$F43,0)</f>
        <v>0</v>
      </c>
      <c r="K43" s="9" t="n">
        <f aca="false">IF(AND(4&gt;=$G43,4&lt;=$G43+$F43-1),$E43/$F43,0)</f>
        <v>0</v>
      </c>
      <c r="L43" s="9" t="n">
        <f aca="false">IF(AND(5&gt;=$G43,5&lt;=$G43+$F43-1),$E43/$F43,0)</f>
        <v>0</v>
      </c>
      <c r="M43" s="9" t="n">
        <f aca="false">IF(AND(6&gt;=$G43,6&lt;=$G43+$F43-1),$E43/$F43,0)</f>
        <v>0</v>
      </c>
      <c r="N43" s="9" t="n">
        <f aca="false">IF(AND(7&gt;=$G43,7&lt;=$G43+$F43-1),$E43/$F43,0)</f>
        <v>0</v>
      </c>
      <c r="O43" s="9" t="n">
        <f aca="false">IF(AND(8&gt;=$G43,8&lt;=$G43+$F43-1),$E43/$F43,0)</f>
        <v>0</v>
      </c>
      <c r="P43" s="9" t="n">
        <f aca="false">IF(AND(9&gt;=$G43,9&lt;=$G43+$F43-1),$E43/$F43,0)</f>
        <v>0</v>
      </c>
      <c r="Q43" s="9" t="n">
        <f aca="false">IF(AND(10&gt;=$G43,10&lt;=$G43+$F43-1),$E43/$F43,0)</f>
        <v>0</v>
      </c>
      <c r="R43" s="9" t="n">
        <f aca="false">IF(AND(11&gt;=$G43,11&lt;=$G43+$F43-1),$E43/$F43,0)</f>
        <v>0</v>
      </c>
      <c r="S43" s="9" t="n">
        <f aca="false">IF(AND(12&gt;=$G43,12&lt;=$G43+$F43-1),$E43/$F43,0)</f>
        <v>4166.66666666667</v>
      </c>
      <c r="T43" s="9" t="n">
        <f aca="false">SUM(H43:S43)</f>
        <v>4166.66666666667</v>
      </c>
      <c r="U43" s="9" t="n">
        <f aca="false">$E43/$F43*MAX(0,MIN($F43,1-$G43))</f>
        <v>0</v>
      </c>
      <c r="V43" s="9" t="n">
        <f aca="false">E43-T43-U43</f>
        <v>45833.3333333333</v>
      </c>
    </row>
    <row r="44" customFormat="false" ht="15" hidden="false" customHeight="false" outlineLevel="0" collapsed="false">
      <c r="A44" s="24" t="s">
        <v>145</v>
      </c>
      <c r="B44" s="25"/>
      <c r="C44" s="25"/>
      <c r="D44" s="26" t="n">
        <f aca="false">SUM(D40:D43)</f>
        <v>250000</v>
      </c>
      <c r="E44" s="26" t="n">
        <f aca="false">SUM(E40:E43)</f>
        <v>200000</v>
      </c>
      <c r="F44" s="25"/>
      <c r="G44" s="25"/>
      <c r="H44" s="26" t="n">
        <f aca="false">SUM(H40:H43)</f>
        <v>0</v>
      </c>
      <c r="I44" s="26" t="n">
        <f aca="false">SUM(I40:I43)</f>
        <v>0</v>
      </c>
      <c r="J44" s="26" t="n">
        <f aca="false">SUM(J40:J43)</f>
        <v>0</v>
      </c>
      <c r="K44" s="26" t="n">
        <f aca="false">SUM(K40:K43)</f>
        <v>0</v>
      </c>
      <c r="L44" s="26" t="n">
        <f aca="false">SUM(L40:L43)</f>
        <v>0</v>
      </c>
      <c r="M44" s="26" t="n">
        <f aca="false">SUM(M40:M43)</f>
        <v>0</v>
      </c>
      <c r="N44" s="26" t="n">
        <f aca="false">SUM(N40:N43)</f>
        <v>0</v>
      </c>
      <c r="O44" s="26" t="n">
        <f aca="false">SUM(O40:O43)</f>
        <v>0</v>
      </c>
      <c r="P44" s="26" t="n">
        <f aca="false">SUM(P40:P43)</f>
        <v>4166.66666666667</v>
      </c>
      <c r="Q44" s="26" t="n">
        <f aca="false">SUM(Q40:Q43)</f>
        <v>8333.33333333333</v>
      </c>
      <c r="R44" s="26" t="n">
        <f aca="false">SUM(R40:R43)</f>
        <v>12500</v>
      </c>
      <c r="S44" s="26" t="n">
        <f aca="false">SUM(S40:S43)</f>
        <v>16666.6666666667</v>
      </c>
      <c r="T44" s="26" t="n">
        <f aca="false">SUM(T40:T43)</f>
        <v>41666.6666666667</v>
      </c>
      <c r="U44" s="26" t="n">
        <f aca="false">SUM(U40:U43)</f>
        <v>0</v>
      </c>
      <c r="V44" s="26" t="n">
        <f aca="false">SUM(V40:V43)</f>
        <v>158333.333333333</v>
      </c>
    </row>
    <row r="46" customFormat="false" ht="15" hidden="false" customHeight="false" outlineLevel="0" collapsed="false">
      <c r="A46" s="29" t="s">
        <v>146</v>
      </c>
      <c r="B46" s="30"/>
      <c r="C46" s="30"/>
      <c r="D46" s="31" t="n">
        <f aca="false">D24+D37+D44</f>
        <v>1229325</v>
      </c>
      <c r="E46" s="31" t="n">
        <f aca="false">E24+E37+E44</f>
        <v>983460</v>
      </c>
      <c r="F46" s="30"/>
      <c r="G46" s="30"/>
      <c r="H46" s="31" t="n">
        <f aca="false">H24+H37+H44</f>
        <v>42787.5</v>
      </c>
      <c r="I46" s="31" t="n">
        <f aca="false">I24+I37+I44</f>
        <v>46120.8333333333</v>
      </c>
      <c r="J46" s="31" t="n">
        <f aca="false">J24+J37+J44</f>
        <v>49038.3333333333</v>
      </c>
      <c r="K46" s="31" t="n">
        <f aca="false">K24+K37+K44</f>
        <v>30705</v>
      </c>
      <c r="L46" s="31" t="n">
        <f aca="false">L24+L37+L44</f>
        <v>34038.3333333333</v>
      </c>
      <c r="M46" s="31" t="n">
        <f aca="false">M24+M37+M44</f>
        <v>36121.6666666667</v>
      </c>
      <c r="N46" s="31" t="n">
        <f aca="false">N24+N37+N44</f>
        <v>36121.6666666667</v>
      </c>
      <c r="O46" s="31" t="n">
        <f aca="false">O24+O37+O44</f>
        <v>34455</v>
      </c>
      <c r="P46" s="31" t="n">
        <f aca="false">P24+P37+P44</f>
        <v>36667.5</v>
      </c>
      <c r="Q46" s="31" t="n">
        <f aca="false">Q24+Q37+Q44</f>
        <v>35000.8333333333</v>
      </c>
      <c r="R46" s="31" t="n">
        <f aca="false">R24+R37+R44</f>
        <v>39167.5</v>
      </c>
      <c r="S46" s="31" t="n">
        <f aca="false">S24+S37+S44</f>
        <v>43334.1666666667</v>
      </c>
      <c r="T46" s="31" t="n">
        <f aca="false">T24+T37+T44</f>
        <v>463558.333333333</v>
      </c>
      <c r="U46" s="31" t="n">
        <f aca="false">U24+U37+U44</f>
        <v>276983.333333333</v>
      </c>
      <c r="V46" s="31" t="n">
        <f aca="false">V24+V37+V44</f>
        <v>242918.333333333</v>
      </c>
    </row>
    <row r="48" customFormat="false" ht="15" hidden="false" customHeight="false" outlineLevel="0" collapsed="false">
      <c r="A48" s="32" t="s">
        <v>147</v>
      </c>
    </row>
    <row r="49" customFormat="false" ht="15" hidden="false" customHeight="false" outlineLevel="0" collapsed="false">
      <c r="A49" s="2" t="s">
        <v>148</v>
      </c>
    </row>
    <row r="50" customFormat="false" ht="15" hidden="false" customHeight="false" outlineLevel="0" collapsed="false">
      <c r="A50" s="2" t="s">
        <v>149</v>
      </c>
    </row>
    <row r="51" customFormat="false" ht="15" hidden="false" customHeight="false" outlineLevel="0" collapsed="false">
      <c r="A51" s="2" t="s">
        <v>150</v>
      </c>
    </row>
    <row r="52" customFormat="false" ht="15" hidden="false" customHeight="false" outlineLevel="0" collapsed="false">
      <c r="A52" s="2"/>
    </row>
    <row r="53" customFormat="false" ht="15" hidden="false" customHeight="false" outlineLevel="0" collapsed="false">
      <c r="A53" s="33" t="s">
        <v>151</v>
      </c>
    </row>
    <row r="54" customFormat="false" ht="15" hidden="false" customHeight="false" outlineLevel="0" collapsed="false">
      <c r="A54" s="33" t="s">
        <v>152</v>
      </c>
    </row>
    <row r="55" customFormat="false" ht="15" hidden="false" customHeight="false" outlineLevel="0" collapsed="false">
      <c r="A55" s="33" t="s">
        <v>153</v>
      </c>
    </row>
    <row r="56" customFormat="false" ht="15" hidden="false" customHeight="false" outlineLevel="0" collapsed="false">
      <c r="A56" s="33" t="s">
        <v>154</v>
      </c>
    </row>
    <row r="57" customFormat="false" ht="15" hidden="false" customHeight="false" outlineLevel="0" collapsed="false">
      <c r="A57" s="33" t="s">
        <v>155</v>
      </c>
    </row>
    <row r="58" customFormat="false" ht="15" hidden="false" customHeight="false" outlineLevel="0" collapsed="false">
      <c r="A58" s="33" t="s">
        <v>156</v>
      </c>
    </row>
    <row r="59" customFormat="false" ht="15" hidden="false" customHeight="false" outlineLevel="0" collapsed="false">
      <c r="A59" s="33" t="s">
        <v>157</v>
      </c>
    </row>
    <row r="60" customFormat="false" ht="15" hidden="false" customHeight="false" outlineLevel="0" collapsed="false">
      <c r="A60" s="2"/>
    </row>
    <row r="61" customFormat="false" ht="15" hidden="false" customHeight="false" outlineLevel="0" collapsed="false">
      <c r="A61" s="2" t="s">
        <v>158</v>
      </c>
    </row>
    <row r="62" customFormat="false" ht="15" hidden="false" customHeight="false" outlineLevel="0" collapsed="false">
      <c r="A62" s="2" t="s">
        <v>159</v>
      </c>
    </row>
    <row r="63" customFormat="false" ht="15" hidden="false" customHeight="false" outlineLevel="0" collapsed="false">
      <c r="A63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  <c r="I3" s="3" t="s">
        <v>3</v>
      </c>
      <c r="J3" s="3"/>
      <c r="K3" s="3"/>
      <c r="L3" s="3"/>
      <c r="M3" s="3"/>
    </row>
    <row r="4" customFormat="false" ht="15" hidden="false" customHeight="false" outlineLevel="0" collapsed="false"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6" customFormat="false" ht="15" hidden="false" customHeight="false" outlineLevel="0" collapsed="false">
      <c r="A6" s="5" t="s">
        <v>163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7" t="s">
        <v>164</v>
      </c>
      <c r="B7" s="16" t="n">
        <v>13</v>
      </c>
      <c r="C7" s="9" t="n">
        <f aca="false">B10</f>
        <v>13</v>
      </c>
      <c r="D7" s="9" t="n">
        <f aca="false">C10</f>
        <v>15</v>
      </c>
      <c r="E7" s="9" t="n">
        <f aca="false">D10</f>
        <v>17</v>
      </c>
      <c r="F7" s="9" t="n">
        <f aca="false">E10</f>
        <v>20</v>
      </c>
      <c r="G7" s="9" t="n">
        <f aca="false">F10</f>
        <v>20</v>
      </c>
      <c r="H7" s="9" t="n">
        <f aca="false">G10</f>
        <v>20</v>
      </c>
      <c r="I7" s="9" t="n">
        <f aca="false">H10</f>
        <v>18</v>
      </c>
      <c r="J7" s="9" t="n">
        <f aca="false">I10</f>
        <v>19</v>
      </c>
      <c r="K7" s="9" t="n">
        <f aca="false">J10</f>
        <v>20</v>
      </c>
      <c r="L7" s="9" t="n">
        <f aca="false">K10</f>
        <v>21</v>
      </c>
      <c r="M7" s="9" t="n">
        <f aca="false">L10</f>
        <v>22</v>
      </c>
    </row>
    <row r="8" customFormat="false" ht="15" hidden="false" customHeight="false" outlineLevel="0" collapsed="false">
      <c r="A8" s="7" t="s">
        <v>165</v>
      </c>
      <c r="B8" s="16" t="n">
        <v>0</v>
      </c>
      <c r="C8" s="16" t="n">
        <v>3</v>
      </c>
      <c r="D8" s="16" t="n">
        <v>3</v>
      </c>
      <c r="E8" s="16" t="n">
        <v>3</v>
      </c>
      <c r="F8" s="16" t="n">
        <v>2</v>
      </c>
      <c r="G8" s="16" t="n">
        <v>1</v>
      </c>
      <c r="H8" s="16" t="n">
        <v>0</v>
      </c>
      <c r="I8" s="8" t="n">
        <f aca="false">Forudsætninger!$B$13</f>
        <v>2</v>
      </c>
      <c r="J8" s="8" t="n">
        <f aca="false">Forudsætninger!$B$13</f>
        <v>2</v>
      </c>
      <c r="K8" s="8" t="n">
        <f aca="false">Forudsætninger!$B$13</f>
        <v>2</v>
      </c>
      <c r="L8" s="8" t="n">
        <f aca="false">Forudsætninger!$B$13</f>
        <v>2</v>
      </c>
      <c r="M8" s="8" t="n">
        <f aca="false">Forudsætninger!$B$13</f>
        <v>2</v>
      </c>
      <c r="N8" s="9" t="n">
        <f aca="false">SUM(B8:M8)</f>
        <v>22</v>
      </c>
    </row>
    <row r="9" customFormat="false" ht="15" hidden="false" customHeight="false" outlineLevel="0" collapsed="false">
      <c r="A9" s="7" t="s">
        <v>166</v>
      </c>
      <c r="B9" s="16" t="n">
        <v>0</v>
      </c>
      <c r="C9" s="16" t="n">
        <v>1</v>
      </c>
      <c r="D9" s="16" t="n">
        <v>1</v>
      </c>
      <c r="E9" s="16" t="n">
        <v>0</v>
      </c>
      <c r="F9" s="16" t="n">
        <v>2</v>
      </c>
      <c r="G9" s="16" t="n">
        <v>1</v>
      </c>
      <c r="H9" s="16" t="n">
        <v>2</v>
      </c>
      <c r="I9" s="8" t="n">
        <f aca="false">Forudsætninger!$B$14</f>
        <v>1</v>
      </c>
      <c r="J9" s="8" t="n">
        <f aca="false">Forudsætninger!$B$14</f>
        <v>1</v>
      </c>
      <c r="K9" s="8" t="n">
        <f aca="false">Forudsætninger!$B$14</f>
        <v>1</v>
      </c>
      <c r="L9" s="8" t="n">
        <f aca="false">Forudsætninger!$B$14</f>
        <v>1</v>
      </c>
      <c r="M9" s="8" t="n">
        <f aca="false">Forudsætninger!$B$14</f>
        <v>1</v>
      </c>
      <c r="N9" s="9" t="n">
        <f aca="false">SUM(B9:M9)</f>
        <v>12</v>
      </c>
    </row>
    <row r="10" customFormat="false" ht="15" hidden="false" customHeight="false" outlineLevel="0" collapsed="false">
      <c r="A10" s="10" t="s">
        <v>167</v>
      </c>
      <c r="B10" s="15" t="n">
        <f aca="false">B7+B8-B9</f>
        <v>13</v>
      </c>
      <c r="C10" s="15" t="n">
        <f aca="false">C7+C8-C9</f>
        <v>15</v>
      </c>
      <c r="D10" s="15" t="n">
        <f aca="false">D7+D8-D9</f>
        <v>17</v>
      </c>
      <c r="E10" s="15" t="n">
        <f aca="false">E7+E8-E9</f>
        <v>20</v>
      </c>
      <c r="F10" s="15" t="n">
        <f aca="false">F7+F8-F9</f>
        <v>20</v>
      </c>
      <c r="G10" s="15" t="n">
        <f aca="false">G7+G8-G9</f>
        <v>20</v>
      </c>
      <c r="H10" s="15" t="n">
        <f aca="false">H7+H8-H9</f>
        <v>18</v>
      </c>
      <c r="I10" s="15" t="n">
        <f aca="false">I7+I8-I9</f>
        <v>19</v>
      </c>
      <c r="J10" s="15" t="n">
        <f aca="false">J7+J8-J9</f>
        <v>20</v>
      </c>
      <c r="K10" s="15" t="n">
        <f aca="false">K7+K8-K9</f>
        <v>21</v>
      </c>
      <c r="L10" s="15" t="n">
        <f aca="false">L7+L8-L9</f>
        <v>22</v>
      </c>
      <c r="M10" s="15" t="n">
        <f aca="false">M7+M8-M9</f>
        <v>23</v>
      </c>
      <c r="N10" s="15" t="n">
        <f aca="false">M10</f>
        <v>23</v>
      </c>
    </row>
    <row r="11" customFormat="false" ht="15" hidden="false" customHeight="false" outlineLevel="0" collapsed="false">
      <c r="A11" s="2" t="s">
        <v>168</v>
      </c>
    </row>
    <row r="12" customFormat="false" ht="15" hidden="false" customHeight="false" outlineLevel="0" collapsed="false">
      <c r="A12" s="2" t="s">
        <v>169</v>
      </c>
    </row>
    <row r="14" customFormat="false" ht="15" hidden="false" customHeight="false" outlineLevel="0" collapsed="false">
      <c r="A14" s="5" t="s">
        <v>170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7" t="s">
        <v>171</v>
      </c>
      <c r="B15" s="34"/>
      <c r="C15" s="34" t="n">
        <f aca="false">B18</f>
        <v>43030.56</v>
      </c>
      <c r="D15" s="34" t="n">
        <f aca="false">C18</f>
        <v>50030.56</v>
      </c>
      <c r="E15" s="34" t="n">
        <f aca="false">D18</f>
        <v>63000</v>
      </c>
      <c r="F15" s="34" t="n">
        <f aca="false">E18</f>
        <v>70875</v>
      </c>
      <c r="G15" s="34" t="n">
        <f aca="false">F18</f>
        <v>70437.5</v>
      </c>
      <c r="H15" s="34" t="n">
        <f aca="false">G18</f>
        <v>70437.5</v>
      </c>
      <c r="I15" s="9" t="n">
        <f aca="false">H18</f>
        <v>63437.5</v>
      </c>
      <c r="J15" s="9" t="n">
        <f aca="false">I18</f>
        <v>68663.1944444444</v>
      </c>
      <c r="K15" s="9" t="n">
        <f aca="false">J18</f>
        <v>73799.3421052632</v>
      </c>
      <c r="L15" s="9" t="n">
        <f aca="false">K18</f>
        <v>78859.375</v>
      </c>
      <c r="M15" s="9" t="n">
        <f aca="false">L18</f>
        <v>83854.1666666667</v>
      </c>
    </row>
    <row r="16" customFormat="false" ht="15" hidden="false" customHeight="false" outlineLevel="0" collapsed="false">
      <c r="A16" s="7" t="s">
        <v>172</v>
      </c>
      <c r="B16" s="34"/>
      <c r="C16" s="34"/>
      <c r="D16" s="34"/>
      <c r="E16" s="34"/>
      <c r="F16" s="34"/>
      <c r="G16" s="34"/>
      <c r="H16" s="34"/>
      <c r="I16" s="9" t="n">
        <f aca="false">I8*Forudsætninger!$B$12</f>
        <v>8750</v>
      </c>
      <c r="J16" s="9" t="n">
        <f aca="false">J8*Forudsætninger!$B$12</f>
        <v>8750</v>
      </c>
      <c r="K16" s="9" t="n">
        <f aca="false">K8*Forudsætninger!$B$12</f>
        <v>8750</v>
      </c>
      <c r="L16" s="9" t="n">
        <f aca="false">L8*Forudsætninger!$B$12</f>
        <v>8750</v>
      </c>
      <c r="M16" s="9" t="n">
        <f aca="false">M8*Forudsætninger!$B$12</f>
        <v>8750</v>
      </c>
    </row>
    <row r="17" customFormat="false" ht="15" hidden="false" customHeight="false" outlineLevel="0" collapsed="false">
      <c r="A17" s="7" t="s">
        <v>173</v>
      </c>
      <c r="B17" s="34"/>
      <c r="C17" s="34"/>
      <c r="D17" s="34"/>
      <c r="E17" s="34"/>
      <c r="F17" s="34"/>
      <c r="G17" s="34"/>
      <c r="H17" s="34"/>
      <c r="I17" s="9" t="n">
        <f aca="false">IF(I7=0,0,I9*I15/I7)</f>
        <v>3524.30555555556</v>
      </c>
      <c r="J17" s="9" t="n">
        <f aca="false">IF(J7=0,0,J9*J15/J7)</f>
        <v>3613.85233918129</v>
      </c>
      <c r="K17" s="9" t="n">
        <f aca="false">IF(K7=0,0,K9*K15/K7)</f>
        <v>3689.96710526316</v>
      </c>
      <c r="L17" s="9" t="n">
        <f aca="false">IF(L7=0,0,L9*L15/L7)</f>
        <v>3755.20833333333</v>
      </c>
      <c r="M17" s="9" t="n">
        <f aca="false">IF(M7=0,0,M9*M15/M7)</f>
        <v>3811.55303030303</v>
      </c>
    </row>
    <row r="18" customFormat="false" ht="15" hidden="false" customHeight="false" outlineLevel="0" collapsed="false">
      <c r="A18" s="10" t="s">
        <v>174</v>
      </c>
      <c r="B18" s="16" t="n">
        <v>43030.56</v>
      </c>
      <c r="C18" s="16" t="n">
        <v>50030.56</v>
      </c>
      <c r="D18" s="16" t="n">
        <v>63000</v>
      </c>
      <c r="E18" s="16" t="n">
        <v>70875</v>
      </c>
      <c r="F18" s="16" t="n">
        <v>70437.5</v>
      </c>
      <c r="G18" s="16" t="n">
        <v>70437.5</v>
      </c>
      <c r="H18" s="16" t="n">
        <v>63437.5</v>
      </c>
      <c r="I18" s="15" t="n">
        <f aca="false">I15+I16-I17</f>
        <v>68663.1944444444</v>
      </c>
      <c r="J18" s="15" t="n">
        <f aca="false">J15+J16-J17</f>
        <v>73799.3421052632</v>
      </c>
      <c r="K18" s="15" t="n">
        <f aca="false">K15+K16-K17</f>
        <v>78859.375</v>
      </c>
      <c r="L18" s="15" t="n">
        <f aca="false">L15+L16-L17</f>
        <v>83854.1666666667</v>
      </c>
      <c r="M18" s="15" t="n">
        <f aca="false">M15+M16-M17</f>
        <v>88792.6136363636</v>
      </c>
      <c r="N18" s="15" t="n">
        <f aca="false">M18</f>
        <v>88792.6136363636</v>
      </c>
    </row>
    <row r="20" customFormat="false" ht="15" hidden="false" customHeight="false" outlineLevel="0" collapsed="false">
      <c r="A20" s="5" t="s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7" t="s">
        <v>18</v>
      </c>
      <c r="B21" s="9" t="n">
        <f aca="false">B18</f>
        <v>43030.56</v>
      </c>
      <c r="C21" s="9" t="n">
        <f aca="false">C18</f>
        <v>50030.56</v>
      </c>
      <c r="D21" s="9" t="n">
        <f aca="false">D18</f>
        <v>63000</v>
      </c>
      <c r="E21" s="9" t="n">
        <f aca="false">E18</f>
        <v>70875</v>
      </c>
      <c r="F21" s="9" t="n">
        <f aca="false">F18</f>
        <v>70437.5</v>
      </c>
      <c r="G21" s="9" t="n">
        <f aca="false">G18</f>
        <v>70437.5</v>
      </c>
      <c r="H21" s="9" t="n">
        <f aca="false">H18</f>
        <v>63437.5</v>
      </c>
      <c r="I21" s="9" t="n">
        <f aca="false">I18</f>
        <v>68663.1944444444</v>
      </c>
      <c r="J21" s="9" t="n">
        <f aca="false">J18</f>
        <v>73799.3421052632</v>
      </c>
      <c r="K21" s="9" t="n">
        <f aca="false">K18</f>
        <v>78859.375</v>
      </c>
      <c r="L21" s="9" t="n">
        <f aca="false">L18</f>
        <v>83854.1666666667</v>
      </c>
      <c r="M21" s="9" t="n">
        <f aca="false">M18</f>
        <v>88792.6136363636</v>
      </c>
      <c r="N21" s="9" t="n">
        <f aca="false">SUM(B21:M21)</f>
        <v>825217.311852738</v>
      </c>
    </row>
    <row r="22" customFormat="false" ht="15" hidden="false" customHeight="false" outlineLevel="0" collapsed="false">
      <c r="A22" s="7" t="s">
        <v>19</v>
      </c>
      <c r="B22" s="8" t="n">
        <f aca="false">Periodisering!H24</f>
        <v>38620.8333333333</v>
      </c>
      <c r="C22" s="8" t="n">
        <f aca="false">Periodisering!I24</f>
        <v>38620.8333333333</v>
      </c>
      <c r="D22" s="8" t="n">
        <f aca="false">Periodisering!J24</f>
        <v>38620.8333333333</v>
      </c>
      <c r="E22" s="8" t="n">
        <f aca="false">Periodisering!K24</f>
        <v>20287.5</v>
      </c>
      <c r="F22" s="8" t="n">
        <f aca="false">Periodisering!L24</f>
        <v>14454.1666666667</v>
      </c>
      <c r="G22" s="8" t="n">
        <f aca="false">Periodisering!M24</f>
        <v>11120.8333333333</v>
      </c>
      <c r="H22" s="8" t="n">
        <f aca="false">Periodisering!N24</f>
        <v>11120.8333333333</v>
      </c>
      <c r="I22" s="8" t="n">
        <f aca="false">Periodisering!O24</f>
        <v>7787.5</v>
      </c>
      <c r="J22" s="8" t="n">
        <f aca="false">Periodisering!P24</f>
        <v>5833.33333333333</v>
      </c>
      <c r="K22" s="8" t="n">
        <f aca="false">Periodisering!Q24</f>
        <v>0</v>
      </c>
      <c r="L22" s="8" t="n">
        <f aca="false">Periodisering!R24</f>
        <v>0</v>
      </c>
      <c r="M22" s="8" t="n">
        <f aca="false">Periodisering!S24</f>
        <v>0</v>
      </c>
      <c r="N22" s="9" t="n">
        <f aca="false">SUM(B22:M22)</f>
        <v>186466.666666667</v>
      </c>
    </row>
    <row r="23" customFormat="false" ht="15" hidden="false" customHeight="false" outlineLevel="0" collapsed="false">
      <c r="A23" s="7" t="s">
        <v>20</v>
      </c>
      <c r="B23" s="8" t="n">
        <f aca="false">Periodisering!H37</f>
        <v>4166.66666666667</v>
      </c>
      <c r="C23" s="8" t="n">
        <f aca="false">Periodisering!I37</f>
        <v>7500</v>
      </c>
      <c r="D23" s="8" t="n">
        <f aca="false">Periodisering!J37</f>
        <v>10417.5</v>
      </c>
      <c r="E23" s="8" t="n">
        <f aca="false">Periodisering!K37</f>
        <v>10417.5</v>
      </c>
      <c r="F23" s="8" t="n">
        <f aca="false">Periodisering!L37</f>
        <v>19584.1666666667</v>
      </c>
      <c r="G23" s="8" t="n">
        <f aca="false">Periodisering!M37</f>
        <v>25000.8333333333</v>
      </c>
      <c r="H23" s="8" t="n">
        <f aca="false">Periodisering!N37</f>
        <v>25000.8333333333</v>
      </c>
      <c r="I23" s="8" t="n">
        <f aca="false">Periodisering!O37</f>
        <v>26667.5</v>
      </c>
      <c r="J23" s="8" t="n">
        <f aca="false">Periodisering!P37</f>
        <v>26667.5</v>
      </c>
      <c r="K23" s="8" t="n">
        <f aca="false">Periodisering!Q37</f>
        <v>26667.5</v>
      </c>
      <c r="L23" s="8" t="n">
        <f aca="false">Periodisering!R37</f>
        <v>26667.5</v>
      </c>
      <c r="M23" s="8" t="n">
        <f aca="false">Periodisering!S37</f>
        <v>26667.5</v>
      </c>
      <c r="N23" s="9" t="n">
        <f aca="false">SUM(B23:M23)</f>
        <v>235425</v>
      </c>
    </row>
    <row r="24" customFormat="false" ht="15" hidden="false" customHeight="false" outlineLevel="0" collapsed="false">
      <c r="A24" s="7" t="s">
        <v>21</v>
      </c>
      <c r="B24" s="8" t="n">
        <f aca="false">Periodisering!H44</f>
        <v>0</v>
      </c>
      <c r="C24" s="8" t="n">
        <f aca="false">Periodisering!I44</f>
        <v>0</v>
      </c>
      <c r="D24" s="8" t="n">
        <f aca="false">Periodisering!J44</f>
        <v>0</v>
      </c>
      <c r="E24" s="8" t="n">
        <f aca="false">Periodisering!K44</f>
        <v>0</v>
      </c>
      <c r="F24" s="8" t="n">
        <f aca="false">Periodisering!L44</f>
        <v>0</v>
      </c>
      <c r="G24" s="8" t="n">
        <f aca="false">Periodisering!M44</f>
        <v>0</v>
      </c>
      <c r="H24" s="8" t="n">
        <f aca="false">Periodisering!N44</f>
        <v>0</v>
      </c>
      <c r="I24" s="8" t="n">
        <f aca="false">Periodisering!O44</f>
        <v>0</v>
      </c>
      <c r="J24" s="8" t="n">
        <f aca="false">Periodisering!P44</f>
        <v>4166.66666666667</v>
      </c>
      <c r="K24" s="8" t="n">
        <f aca="false">Periodisering!Q44</f>
        <v>8333.33333333333</v>
      </c>
      <c r="L24" s="8" t="n">
        <f aca="false">Periodisering!R44</f>
        <v>12500</v>
      </c>
      <c r="M24" s="8" t="n">
        <f aca="false">Periodisering!S44</f>
        <v>16666.6666666667</v>
      </c>
      <c r="N24" s="9" t="n">
        <f aca="false">SUM(B24:M24)</f>
        <v>41666.6666666667</v>
      </c>
    </row>
    <row r="25" customFormat="false" ht="15" hidden="false" customHeight="false" outlineLevel="0" collapsed="false">
      <c r="A25" s="7" t="s">
        <v>22</v>
      </c>
      <c r="B25" s="16" t="n">
        <v>0</v>
      </c>
      <c r="C25" s="16" t="n">
        <v>0</v>
      </c>
      <c r="D25" s="16" t="n">
        <v>0</v>
      </c>
      <c r="E25" s="16" t="n">
        <v>2525</v>
      </c>
      <c r="F25" s="16" t="n">
        <v>12772.24</v>
      </c>
      <c r="G25" s="16" t="n">
        <v>1000</v>
      </c>
      <c r="H25" s="16" t="n">
        <v>0</v>
      </c>
      <c r="I25" s="8" t="n">
        <f aca="false">Forudsætninger!$B$22</f>
        <v>2500</v>
      </c>
      <c r="J25" s="8" t="n">
        <f aca="false">Forudsætninger!$B$22</f>
        <v>2500</v>
      </c>
      <c r="K25" s="8" t="n">
        <f aca="false">Forudsætninger!$B$22</f>
        <v>2500</v>
      </c>
      <c r="L25" s="8" t="n">
        <f aca="false">Forudsætninger!$B$22</f>
        <v>2500</v>
      </c>
      <c r="M25" s="8" t="n">
        <f aca="false">Forudsætninger!$B$22</f>
        <v>2500</v>
      </c>
      <c r="N25" s="9" t="n">
        <f aca="false">SUM(B25:M25)</f>
        <v>28797.24</v>
      </c>
    </row>
    <row r="26" customFormat="false" ht="15" hidden="false" customHeight="false" outlineLevel="0" collapsed="false">
      <c r="A26" s="10" t="s">
        <v>175</v>
      </c>
      <c r="B26" s="11" t="n">
        <f aca="false">SUM(B21:B25)</f>
        <v>85818.06</v>
      </c>
      <c r="C26" s="11" t="n">
        <f aca="false">SUM(C21:C25)</f>
        <v>96151.3933333333</v>
      </c>
      <c r="D26" s="11" t="n">
        <f aca="false">SUM(D21:D25)</f>
        <v>112038.333333333</v>
      </c>
      <c r="E26" s="11" t="n">
        <f aca="false">SUM(E21:E25)</f>
        <v>104105</v>
      </c>
      <c r="F26" s="11" t="n">
        <f aca="false">SUM(F21:F25)</f>
        <v>117248.073333333</v>
      </c>
      <c r="G26" s="11" t="n">
        <f aca="false">SUM(G21:G25)</f>
        <v>107559.166666667</v>
      </c>
      <c r="H26" s="11" t="n">
        <f aca="false">SUM(H21:H25)</f>
        <v>99559.1666666667</v>
      </c>
      <c r="I26" s="11" t="n">
        <f aca="false">SUM(I21:I25)</f>
        <v>105618.194444444</v>
      </c>
      <c r="J26" s="11" t="n">
        <f aca="false">SUM(J21:J25)</f>
        <v>112966.842105263</v>
      </c>
      <c r="K26" s="11" t="n">
        <f aca="false">SUM(K21:K25)</f>
        <v>116360.208333333</v>
      </c>
      <c r="L26" s="11" t="n">
        <f aca="false">SUM(L21:L25)</f>
        <v>125521.666666667</v>
      </c>
      <c r="M26" s="11" t="n">
        <f aca="false">SUM(M21:M25)</f>
        <v>134626.78030303</v>
      </c>
      <c r="N26" s="11" t="n">
        <f aca="false">SUM(B26:M26)</f>
        <v>1317572.88518607</v>
      </c>
    </row>
    <row r="28" customFormat="false" ht="15" hidden="false" customHeight="false" outlineLevel="0" collapsed="false">
      <c r="A28" s="2" t="s">
        <v>176</v>
      </c>
    </row>
    <row r="29" customFormat="false" ht="15" hidden="false" customHeight="false" outlineLevel="0" collapsed="false">
      <c r="A29" s="2" t="s">
        <v>177</v>
      </c>
    </row>
  </sheetData>
  <mergeCells count="2">
    <mergeCell ref="B3:H3"/>
    <mergeCell ref="I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2"/>
    <col collapsed="false" customWidth="true" hidden="false" outlineLevel="0" max="15" min="15" style="0" width="3"/>
    <col collapsed="false" customWidth="true" hidden="false" outlineLevel="0" max="16" min="16" style="0" width="17"/>
    <col collapsed="false" customWidth="true" hidden="false" outlineLevel="0" max="17" min="17" style="0" width="19"/>
    <col collapsed="false" customWidth="true" hidden="false" outlineLevel="0" max="18" min="18" style="0" width="56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  <c r="I3" s="3" t="s">
        <v>3</v>
      </c>
      <c r="J3" s="3"/>
      <c r="K3" s="3"/>
      <c r="L3" s="3"/>
      <c r="M3" s="3"/>
    </row>
    <row r="4" customFormat="false" ht="31.5" hidden="false" customHeight="true" outlineLevel="0" collapsed="false"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5" t="s">
        <v>16</v>
      </c>
      <c r="P4" s="35" t="s">
        <v>180</v>
      </c>
      <c r="Q4" s="35" t="s">
        <v>181</v>
      </c>
      <c r="R4" s="35" t="s">
        <v>182</v>
      </c>
    </row>
    <row r="5" customFormat="false" ht="15" hidden="false" customHeight="false" outlineLevel="0" collapsed="false">
      <c r="A5" s="5" t="s">
        <v>183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customFormat="false" ht="15" hidden="false" customHeight="false" outlineLevel="0" collapsed="false">
      <c r="A6" s="7" t="s">
        <v>184</v>
      </c>
      <c r="B6" s="16" t="n">
        <v>15000</v>
      </c>
      <c r="C6" s="16" t="n">
        <v>45000</v>
      </c>
      <c r="D6" s="16" t="n">
        <v>35000</v>
      </c>
      <c r="E6" s="16" t="n">
        <v>0</v>
      </c>
      <c r="F6" s="16" t="n">
        <v>0</v>
      </c>
      <c r="G6" s="16" t="n">
        <v>68640</v>
      </c>
      <c r="H6" s="16" t="n">
        <v>0</v>
      </c>
      <c r="I6" s="9" t="n">
        <f aca="false">$Q6</f>
        <v>23377</v>
      </c>
      <c r="J6" s="9" t="n">
        <f aca="false">$Q6</f>
        <v>23377</v>
      </c>
      <c r="K6" s="9" t="n">
        <f aca="false">$Q6</f>
        <v>23377</v>
      </c>
      <c r="L6" s="9" t="n">
        <f aca="false">$Q6</f>
        <v>23377</v>
      </c>
      <c r="M6" s="9" t="n">
        <f aca="false">$Q6</f>
        <v>23377</v>
      </c>
      <c r="N6" s="9" t="n">
        <f aca="false">SUM(B6:M6)</f>
        <v>280525</v>
      </c>
      <c r="P6" s="9" t="n">
        <f aca="false">AVERAGE(B6:H6)</f>
        <v>23377.1428571429</v>
      </c>
      <c r="Q6" s="20" t="n">
        <v>23377</v>
      </c>
      <c r="R6" s="2" t="s">
        <v>185</v>
      </c>
    </row>
    <row r="7" customFormat="false" ht="15" hidden="false" customHeight="false" outlineLevel="0" collapsed="false">
      <c r="A7" s="7" t="s">
        <v>186</v>
      </c>
      <c r="B7" s="16" t="n">
        <v>17100</v>
      </c>
      <c r="C7" s="16" t="n">
        <v>12300</v>
      </c>
      <c r="D7" s="16" t="n">
        <v>13875</v>
      </c>
      <c r="E7" s="16" t="n">
        <v>17700</v>
      </c>
      <c r="F7" s="16" t="n">
        <v>9975</v>
      </c>
      <c r="G7" s="16" t="n">
        <v>0</v>
      </c>
      <c r="H7" s="16" t="n">
        <v>16275</v>
      </c>
      <c r="I7" s="9" t="n">
        <f aca="false">$Q7</f>
        <v>12461</v>
      </c>
      <c r="J7" s="9" t="n">
        <f aca="false">$Q7</f>
        <v>12461</v>
      </c>
      <c r="K7" s="9" t="n">
        <f aca="false">$Q7</f>
        <v>12461</v>
      </c>
      <c r="L7" s="9" t="n">
        <f aca="false">$Q7</f>
        <v>12461</v>
      </c>
      <c r="M7" s="9" t="n">
        <f aca="false">$Q7</f>
        <v>12461</v>
      </c>
      <c r="N7" s="9" t="n">
        <f aca="false">SUM(B7:M7)</f>
        <v>149530</v>
      </c>
      <c r="P7" s="9" t="n">
        <f aca="false">AVERAGE(B7:H7)</f>
        <v>12460.7142857143</v>
      </c>
      <c r="Q7" s="20" t="n">
        <v>12461</v>
      </c>
      <c r="R7" s="2" t="s">
        <v>187</v>
      </c>
    </row>
    <row r="8" customFormat="false" ht="15" hidden="false" customHeight="false" outlineLevel="0" collapsed="false">
      <c r="A8" s="7" t="s">
        <v>188</v>
      </c>
      <c r="B8" s="16" t="n">
        <v>0</v>
      </c>
      <c r="C8" s="16" t="n">
        <v>0</v>
      </c>
      <c r="D8" s="16" t="n">
        <v>12000</v>
      </c>
      <c r="E8" s="16" t="n">
        <v>3500</v>
      </c>
      <c r="F8" s="16" t="n">
        <v>0</v>
      </c>
      <c r="G8" s="16" t="n">
        <v>3500</v>
      </c>
      <c r="H8" s="16" t="n">
        <v>3500</v>
      </c>
      <c r="I8" s="9" t="n">
        <f aca="false">$Q8</f>
        <v>3500</v>
      </c>
      <c r="J8" s="9" t="n">
        <f aca="false">$Q8</f>
        <v>3500</v>
      </c>
      <c r="K8" s="9" t="n">
        <f aca="false">$Q8</f>
        <v>3500</v>
      </c>
      <c r="L8" s="9" t="n">
        <f aca="false">$Q8</f>
        <v>3500</v>
      </c>
      <c r="M8" s="9" t="n">
        <f aca="false">$Q8</f>
        <v>3500</v>
      </c>
      <c r="N8" s="9" t="n">
        <f aca="false">SUM(B8:M8)</f>
        <v>40000</v>
      </c>
      <c r="P8" s="9" t="n">
        <f aca="false">AVERAGE(B8:H8)</f>
        <v>3214.28571428571</v>
      </c>
      <c r="Q8" s="20" t="n">
        <v>3500</v>
      </c>
      <c r="R8" s="2" t="s">
        <v>189</v>
      </c>
    </row>
    <row r="9" customFormat="false" ht="15" hidden="false" customHeight="false" outlineLevel="0" collapsed="false">
      <c r="A9" s="7" t="s">
        <v>190</v>
      </c>
      <c r="B9" s="16" t="n">
        <v>0</v>
      </c>
      <c r="C9" s="16" t="n">
        <v>2500</v>
      </c>
      <c r="D9" s="16" t="n">
        <v>3705.64</v>
      </c>
      <c r="E9" s="16" t="n">
        <v>5050</v>
      </c>
      <c r="F9" s="16" t="n">
        <v>2550</v>
      </c>
      <c r="G9" s="16" t="n">
        <v>2550</v>
      </c>
      <c r="H9" s="16" t="n">
        <v>2550</v>
      </c>
      <c r="I9" s="9" t="n">
        <f aca="false">$Q9</f>
        <v>2550</v>
      </c>
      <c r="J9" s="9" t="n">
        <f aca="false">$Q9</f>
        <v>2550</v>
      </c>
      <c r="K9" s="9" t="n">
        <f aca="false">$Q9</f>
        <v>2550</v>
      </c>
      <c r="L9" s="9" t="n">
        <f aca="false">$Q9</f>
        <v>2550</v>
      </c>
      <c r="M9" s="9" t="n">
        <f aca="false">$Q9</f>
        <v>2550</v>
      </c>
      <c r="N9" s="9" t="n">
        <f aca="false">SUM(B9:M9)</f>
        <v>31655.64</v>
      </c>
      <c r="P9" s="9" t="n">
        <f aca="false">AVERAGE(B9:H9)</f>
        <v>2700.80571428571</v>
      </c>
      <c r="Q9" s="20" t="n">
        <v>2550</v>
      </c>
      <c r="R9" s="2" t="s">
        <v>191</v>
      </c>
    </row>
    <row r="10" customFormat="false" ht="15" hidden="false" customHeight="false" outlineLevel="0" collapsed="false">
      <c r="A10" s="7" t="s">
        <v>192</v>
      </c>
      <c r="B10" s="16" t="n">
        <v>0</v>
      </c>
      <c r="C10" s="16" t="n">
        <v>0</v>
      </c>
      <c r="D10" s="16" t="n">
        <v>700</v>
      </c>
      <c r="E10" s="16" t="n">
        <v>0</v>
      </c>
      <c r="F10" s="16" t="n">
        <v>0</v>
      </c>
      <c r="G10" s="16" t="n">
        <v>0</v>
      </c>
      <c r="H10" s="16" t="n">
        <v>0</v>
      </c>
      <c r="I10" s="9" t="n">
        <f aca="false">$Q10</f>
        <v>0</v>
      </c>
      <c r="J10" s="9" t="n">
        <f aca="false">$Q10</f>
        <v>0</v>
      </c>
      <c r="K10" s="9" t="n">
        <f aca="false">$Q10</f>
        <v>0</v>
      </c>
      <c r="L10" s="9" t="n">
        <f aca="false">$Q10</f>
        <v>0</v>
      </c>
      <c r="M10" s="9" t="n">
        <f aca="false">$Q10</f>
        <v>0</v>
      </c>
      <c r="N10" s="9" t="n">
        <f aca="false">SUM(B10:M10)</f>
        <v>700</v>
      </c>
      <c r="P10" s="9" t="n">
        <f aca="false">AVERAGE(B10:H10)</f>
        <v>100</v>
      </c>
      <c r="Q10" s="20" t="n">
        <v>0</v>
      </c>
      <c r="R10" s="2" t="s">
        <v>193</v>
      </c>
    </row>
    <row r="11" customFormat="false" ht="15" hidden="false" customHeight="false" outlineLevel="0" collapsed="false">
      <c r="A11" s="10" t="s">
        <v>194</v>
      </c>
      <c r="B11" s="11" t="n">
        <f aca="false">SUM(B6:B10)</f>
        <v>32100</v>
      </c>
      <c r="C11" s="11" t="n">
        <f aca="false">SUM(C6:C10)</f>
        <v>59800</v>
      </c>
      <c r="D11" s="11" t="n">
        <f aca="false">SUM(D6:D10)</f>
        <v>65280.64</v>
      </c>
      <c r="E11" s="11" t="n">
        <f aca="false">SUM(E6:E10)</f>
        <v>26250</v>
      </c>
      <c r="F11" s="11" t="n">
        <f aca="false">SUM(F6:F10)</f>
        <v>12525</v>
      </c>
      <c r="G11" s="11" t="n">
        <f aca="false">SUM(G6:G10)</f>
        <v>74690</v>
      </c>
      <c r="H11" s="11" t="n">
        <f aca="false">SUM(H6:H10)</f>
        <v>22325</v>
      </c>
      <c r="I11" s="11" t="n">
        <f aca="false">SUM(I6:I10)</f>
        <v>41888</v>
      </c>
      <c r="J11" s="11" t="n">
        <f aca="false">SUM(J6:J10)</f>
        <v>41888</v>
      </c>
      <c r="K11" s="11" t="n">
        <f aca="false">SUM(K6:K10)</f>
        <v>41888</v>
      </c>
      <c r="L11" s="11" t="n">
        <f aca="false">SUM(L6:L10)</f>
        <v>41888</v>
      </c>
      <c r="M11" s="11" t="n">
        <f aca="false">SUM(M6:M10)</f>
        <v>41888</v>
      </c>
      <c r="N11" s="11" t="n">
        <f aca="false">SUM(N6:N10)</f>
        <v>502410.64</v>
      </c>
      <c r="Q11" s="11" t="n">
        <f aca="false">SUM(Q6:Q10)</f>
        <v>41888</v>
      </c>
    </row>
    <row r="13" customFormat="false" ht="15" hidden="false" customHeight="false" outlineLevel="0" collapsed="false">
      <c r="A13" s="5" t="s">
        <v>195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customFormat="false" ht="15" hidden="false" customHeight="false" outlineLevel="0" collapsed="false">
      <c r="A14" s="7" t="s">
        <v>196</v>
      </c>
      <c r="B14" s="16" t="n">
        <v>0</v>
      </c>
      <c r="C14" s="16" t="n">
        <v>4760.45</v>
      </c>
      <c r="D14" s="16" t="n">
        <v>120.26</v>
      </c>
      <c r="E14" s="16" t="n">
        <v>5749.5</v>
      </c>
      <c r="F14" s="16" t="n">
        <v>19088.8</v>
      </c>
      <c r="G14" s="16" t="n">
        <v>14402.8</v>
      </c>
      <c r="H14" s="16" t="n">
        <v>1593.04</v>
      </c>
      <c r="I14" s="9" t="n">
        <f aca="false">$Q14</f>
        <v>6531</v>
      </c>
      <c r="J14" s="9" t="n">
        <f aca="false">$Q14</f>
        <v>6531</v>
      </c>
      <c r="K14" s="9" t="n">
        <f aca="false">$Q14</f>
        <v>6531</v>
      </c>
      <c r="L14" s="9" t="n">
        <f aca="false">$Q14</f>
        <v>6531</v>
      </c>
      <c r="M14" s="9" t="n">
        <f aca="false">$Q14</f>
        <v>6531</v>
      </c>
      <c r="N14" s="9" t="n">
        <f aca="false">SUM(B14:M14)</f>
        <v>78369.85</v>
      </c>
      <c r="P14" s="9" t="n">
        <f aca="false">AVERAGE(B14:H14)</f>
        <v>6530.69285714286</v>
      </c>
      <c r="Q14" s="20" t="n">
        <v>6531</v>
      </c>
      <c r="R14" s="2" t="s">
        <v>197</v>
      </c>
    </row>
    <row r="15" customFormat="false" ht="15" hidden="false" customHeight="false" outlineLevel="0" collapsed="false">
      <c r="A15" s="7" t="s">
        <v>198</v>
      </c>
      <c r="B15" s="16" t="n">
        <v>421.92</v>
      </c>
      <c r="C15" s="16" t="n">
        <v>414.88</v>
      </c>
      <c r="D15" s="16" t="n">
        <v>425.85</v>
      </c>
      <c r="E15" s="16" t="n">
        <v>421.02</v>
      </c>
      <c r="F15" s="16" t="n">
        <v>418.14</v>
      </c>
      <c r="G15" s="16" t="n">
        <v>425.36</v>
      </c>
      <c r="H15" s="16" t="n">
        <v>430.38</v>
      </c>
      <c r="I15" s="9" t="n">
        <f aca="false">$Q15</f>
        <v>423</v>
      </c>
      <c r="J15" s="9" t="n">
        <f aca="false">$Q15</f>
        <v>423</v>
      </c>
      <c r="K15" s="9" t="n">
        <f aca="false">$Q15</f>
        <v>423</v>
      </c>
      <c r="L15" s="9" t="n">
        <f aca="false">$Q15</f>
        <v>423</v>
      </c>
      <c r="M15" s="9" t="n">
        <f aca="false">$Q15</f>
        <v>423</v>
      </c>
      <c r="N15" s="9" t="n">
        <f aca="false">SUM(B15:M15)</f>
        <v>5072.55</v>
      </c>
      <c r="P15" s="9" t="n">
        <f aca="false">AVERAGE(B15:H15)</f>
        <v>422.507142857143</v>
      </c>
      <c r="Q15" s="20" t="n">
        <v>423</v>
      </c>
      <c r="R15" s="2" t="s">
        <v>199</v>
      </c>
    </row>
    <row r="16" customFormat="false" ht="15" hidden="false" customHeight="false" outlineLevel="0" collapsed="false">
      <c r="A16" s="10" t="s">
        <v>200</v>
      </c>
      <c r="B16" s="11" t="n">
        <f aca="false">SUM(B14:B15)</f>
        <v>421.92</v>
      </c>
      <c r="C16" s="11" t="n">
        <f aca="false">SUM(C14:C15)</f>
        <v>5175.33</v>
      </c>
      <c r="D16" s="11" t="n">
        <f aca="false">SUM(D14:D15)</f>
        <v>546.11</v>
      </c>
      <c r="E16" s="11" t="n">
        <f aca="false">SUM(E14:E15)</f>
        <v>6170.52</v>
      </c>
      <c r="F16" s="11" t="n">
        <f aca="false">SUM(F14:F15)</f>
        <v>19506.94</v>
      </c>
      <c r="G16" s="11" t="n">
        <f aca="false">SUM(G14:G15)</f>
        <v>14828.16</v>
      </c>
      <c r="H16" s="11" t="n">
        <f aca="false">SUM(H14:H15)</f>
        <v>2023.42</v>
      </c>
      <c r="I16" s="11" t="n">
        <f aca="false">SUM(I14:I15)</f>
        <v>6954</v>
      </c>
      <c r="J16" s="11" t="n">
        <f aca="false">SUM(J14:J15)</f>
        <v>6954</v>
      </c>
      <c r="K16" s="11" t="n">
        <f aca="false">SUM(K14:K15)</f>
        <v>6954</v>
      </c>
      <c r="L16" s="11" t="n">
        <f aca="false">SUM(L14:L15)</f>
        <v>6954</v>
      </c>
      <c r="M16" s="11" t="n">
        <f aca="false">SUM(M14:M15)</f>
        <v>6954</v>
      </c>
      <c r="N16" s="11" t="n">
        <f aca="false">SUM(N14:N15)</f>
        <v>83442.4</v>
      </c>
      <c r="Q16" s="11" t="n">
        <f aca="false">SUM(Q14:Q15)</f>
        <v>6954</v>
      </c>
    </row>
    <row r="18" customFormat="false" ht="15" hidden="false" customHeight="false" outlineLevel="0" collapsed="false">
      <c r="A18" s="5" t="s">
        <v>201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false" outlineLevel="0" collapsed="false">
      <c r="A19" s="7" t="s">
        <v>202</v>
      </c>
      <c r="B19" s="16" t="n">
        <v>4120.33</v>
      </c>
      <c r="C19" s="16" t="n">
        <v>4388.63</v>
      </c>
      <c r="D19" s="16" t="n">
        <v>6876.74</v>
      </c>
      <c r="E19" s="16" t="n">
        <v>1564.31</v>
      </c>
      <c r="F19" s="16" t="n">
        <v>1687.75</v>
      </c>
      <c r="G19" s="16" t="n">
        <v>4754.36</v>
      </c>
      <c r="H19" s="16" t="n">
        <v>1868.14</v>
      </c>
      <c r="I19" s="9" t="n">
        <f aca="false">$Q19</f>
        <v>3609</v>
      </c>
      <c r="J19" s="9" t="n">
        <f aca="false">$Q19</f>
        <v>3609</v>
      </c>
      <c r="K19" s="9" t="n">
        <f aca="false">$Q19</f>
        <v>3609</v>
      </c>
      <c r="L19" s="9" t="n">
        <f aca="false">$Q19</f>
        <v>3609</v>
      </c>
      <c r="M19" s="9" t="n">
        <f aca="false">$Q19</f>
        <v>3609</v>
      </c>
      <c r="N19" s="9" t="n">
        <f aca="false">SUM(B19:M19)</f>
        <v>43305.26</v>
      </c>
      <c r="P19" s="9" t="n">
        <f aca="false">AVERAGE(B19:H19)</f>
        <v>3608.60857142857</v>
      </c>
      <c r="Q19" s="20" t="n">
        <v>3609</v>
      </c>
      <c r="R19" s="2" t="s">
        <v>199</v>
      </c>
    </row>
    <row r="20" customFormat="false" ht="15" hidden="false" customHeight="false" outlineLevel="0" collapsed="false">
      <c r="A20" s="7" t="s">
        <v>203</v>
      </c>
      <c r="B20" s="16" t="n">
        <v>2040.07</v>
      </c>
      <c r="C20" s="16" t="n">
        <v>933.11</v>
      </c>
      <c r="D20" s="16" t="n">
        <v>763</v>
      </c>
      <c r="E20" s="16" t="n">
        <v>4230.48</v>
      </c>
      <c r="F20" s="16" t="n">
        <v>301.01</v>
      </c>
      <c r="G20" s="16" t="n">
        <v>301.06</v>
      </c>
      <c r="H20" s="16" t="n">
        <v>301.1</v>
      </c>
      <c r="I20" s="9" t="n">
        <f aca="false">$Q20</f>
        <v>1267</v>
      </c>
      <c r="J20" s="9" t="n">
        <f aca="false">$Q20</f>
        <v>1267</v>
      </c>
      <c r="K20" s="9" t="n">
        <f aca="false">$Q20</f>
        <v>1267</v>
      </c>
      <c r="L20" s="9" t="n">
        <f aca="false">$Q20</f>
        <v>1267</v>
      </c>
      <c r="M20" s="9" t="n">
        <f aca="false">$Q20</f>
        <v>1267</v>
      </c>
      <c r="N20" s="9" t="n">
        <f aca="false">SUM(B20:M20)</f>
        <v>15204.83</v>
      </c>
      <c r="P20" s="9" t="n">
        <f aca="false">AVERAGE(B20:H20)</f>
        <v>1267.11857142857</v>
      </c>
      <c r="Q20" s="20" t="n">
        <v>1267</v>
      </c>
      <c r="R20" s="2" t="s">
        <v>199</v>
      </c>
    </row>
    <row r="21" customFormat="false" ht="15" hidden="false" customHeight="false" outlineLevel="0" collapsed="false">
      <c r="A21" s="7" t="s">
        <v>204</v>
      </c>
      <c r="B21" s="16" t="n">
        <v>2068.11</v>
      </c>
      <c r="C21" s="16" t="n">
        <v>2417.82</v>
      </c>
      <c r="D21" s="16" t="n">
        <v>121.11</v>
      </c>
      <c r="E21" s="16" t="n">
        <v>2068.11</v>
      </c>
      <c r="F21" s="16" t="n">
        <v>0</v>
      </c>
      <c r="G21" s="16" t="n">
        <v>0</v>
      </c>
      <c r="H21" s="16" t="n">
        <v>1947</v>
      </c>
      <c r="I21" s="9" t="n">
        <f aca="false">$Q21</f>
        <v>1232</v>
      </c>
      <c r="J21" s="9" t="n">
        <f aca="false">$Q21</f>
        <v>1232</v>
      </c>
      <c r="K21" s="9" t="n">
        <f aca="false">$Q21</f>
        <v>1232</v>
      </c>
      <c r="L21" s="9" t="n">
        <f aca="false">$Q21</f>
        <v>1232</v>
      </c>
      <c r="M21" s="9" t="n">
        <f aca="false">$Q21</f>
        <v>1232</v>
      </c>
      <c r="N21" s="9" t="n">
        <f aca="false">SUM(B21:M21)</f>
        <v>14782.15</v>
      </c>
      <c r="P21" s="9" t="n">
        <f aca="false">AVERAGE(B21:H21)</f>
        <v>1231.73571428571</v>
      </c>
      <c r="Q21" s="20" t="n">
        <v>1232</v>
      </c>
      <c r="R21" s="2" t="s">
        <v>199</v>
      </c>
    </row>
    <row r="22" customFormat="false" ht="15" hidden="false" customHeight="false" outlineLevel="0" collapsed="false">
      <c r="A22" s="7" t="s">
        <v>205</v>
      </c>
      <c r="B22" s="16" t="n">
        <v>1947</v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9" t="n">
        <f aca="false">$Q22</f>
        <v>0</v>
      </c>
      <c r="J22" s="9" t="n">
        <f aca="false">$Q22</f>
        <v>0</v>
      </c>
      <c r="K22" s="9" t="n">
        <f aca="false">$Q22</f>
        <v>0</v>
      </c>
      <c r="L22" s="9" t="n">
        <f aca="false">$Q22</f>
        <v>0</v>
      </c>
      <c r="M22" s="9" t="n">
        <f aca="false">$Q22</f>
        <v>0</v>
      </c>
      <c r="N22" s="9" t="n">
        <f aca="false">SUM(B22:M22)</f>
        <v>1947</v>
      </c>
      <c r="P22" s="9" t="n">
        <f aca="false">AVERAGE(B22:H22)</f>
        <v>278.142857142857</v>
      </c>
      <c r="Q22" s="20" t="n">
        <v>0</v>
      </c>
      <c r="R22" s="2" t="s">
        <v>206</v>
      </c>
    </row>
    <row r="23" customFormat="false" ht="15" hidden="false" customHeight="false" outlineLevel="0" collapsed="false">
      <c r="A23" s="10" t="s">
        <v>207</v>
      </c>
      <c r="B23" s="11" t="n">
        <f aca="false">SUM(B19:B22)</f>
        <v>10175.51</v>
      </c>
      <c r="C23" s="11" t="n">
        <f aca="false">SUM(C19:C22)</f>
        <v>7739.56</v>
      </c>
      <c r="D23" s="11" t="n">
        <f aca="false">SUM(D19:D22)</f>
        <v>7760.85</v>
      </c>
      <c r="E23" s="11" t="n">
        <f aca="false">SUM(E19:E22)</f>
        <v>7862.9</v>
      </c>
      <c r="F23" s="11" t="n">
        <f aca="false">SUM(F19:F22)</f>
        <v>1988.76</v>
      </c>
      <c r="G23" s="11" t="n">
        <f aca="false">SUM(G19:G22)</f>
        <v>5055.42</v>
      </c>
      <c r="H23" s="11" t="n">
        <f aca="false">SUM(H19:H22)</f>
        <v>4116.24</v>
      </c>
      <c r="I23" s="11" t="n">
        <f aca="false">SUM(I19:I22)</f>
        <v>6108</v>
      </c>
      <c r="J23" s="11" t="n">
        <f aca="false">SUM(J19:J22)</f>
        <v>6108</v>
      </c>
      <c r="K23" s="11" t="n">
        <f aca="false">SUM(K19:K22)</f>
        <v>6108</v>
      </c>
      <c r="L23" s="11" t="n">
        <f aca="false">SUM(L19:L22)</f>
        <v>6108</v>
      </c>
      <c r="M23" s="11" t="n">
        <f aca="false">SUM(M19:M22)</f>
        <v>6108</v>
      </c>
      <c r="N23" s="11" t="n">
        <f aca="false">SUM(N19:N22)</f>
        <v>75239.24</v>
      </c>
      <c r="Q23" s="11" t="n">
        <f aca="false">SUM(Q19:Q22)</f>
        <v>6108</v>
      </c>
    </row>
    <row r="25" customFormat="false" ht="15" hidden="false" customHeight="false" outlineLevel="0" collapsed="false">
      <c r="A25" s="5" t="s">
        <v>208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customFormat="false" ht="15" hidden="false" customHeight="false" outlineLevel="0" collapsed="false">
      <c r="A26" s="7" t="s">
        <v>209</v>
      </c>
      <c r="B26" s="16" t="n">
        <v>19901</v>
      </c>
      <c r="C26" s="16" t="n">
        <v>29901</v>
      </c>
      <c r="D26" s="16" t="n">
        <v>25354.89</v>
      </c>
      <c r="E26" s="16" t="n">
        <v>24901</v>
      </c>
      <c r="F26" s="16" t="n">
        <v>19901</v>
      </c>
      <c r="G26" s="16" t="n">
        <v>36450.21</v>
      </c>
      <c r="H26" s="16" t="n">
        <v>34901</v>
      </c>
      <c r="I26" s="9" t="n">
        <f aca="false">$Q26</f>
        <v>27330</v>
      </c>
      <c r="J26" s="9" t="n">
        <f aca="false">$Q26</f>
        <v>27330</v>
      </c>
      <c r="K26" s="9" t="n">
        <f aca="false">$Q26</f>
        <v>27330</v>
      </c>
      <c r="L26" s="9" t="n">
        <f aca="false">$Q26</f>
        <v>27330</v>
      </c>
      <c r="M26" s="9" t="n">
        <f aca="false">$Q26</f>
        <v>27330</v>
      </c>
      <c r="N26" s="9" t="n">
        <f aca="false">SUM(B26:M26)</f>
        <v>327960.1</v>
      </c>
      <c r="P26" s="9" t="n">
        <f aca="false">AVERAGE(B26:H26)</f>
        <v>27330.0142857143</v>
      </c>
      <c r="Q26" s="20" t="n">
        <v>27330</v>
      </c>
      <c r="R26" s="2" t="s">
        <v>210</v>
      </c>
    </row>
    <row r="27" customFormat="false" ht="15" hidden="false" customHeight="false" outlineLevel="0" collapsed="false">
      <c r="A27" s="7" t="s">
        <v>211</v>
      </c>
      <c r="B27" s="16" t="n">
        <v>6535.8</v>
      </c>
      <c r="C27" s="16" t="n">
        <v>0</v>
      </c>
      <c r="D27" s="16" t="n">
        <v>0</v>
      </c>
      <c r="E27" s="16" t="n">
        <v>14015.43</v>
      </c>
      <c r="F27" s="16" t="n">
        <v>0</v>
      </c>
      <c r="G27" s="16" t="n">
        <v>0</v>
      </c>
      <c r="H27" s="16" t="n">
        <v>6632.74</v>
      </c>
      <c r="I27" s="9" t="n">
        <f aca="false">$Q27</f>
        <v>3883</v>
      </c>
      <c r="J27" s="9" t="n">
        <f aca="false">$Q27</f>
        <v>3883</v>
      </c>
      <c r="K27" s="9" t="n">
        <f aca="false">$Q27</f>
        <v>3883</v>
      </c>
      <c r="L27" s="9" t="n">
        <f aca="false">$Q27</f>
        <v>3883</v>
      </c>
      <c r="M27" s="9" t="n">
        <f aca="false">$Q27</f>
        <v>3883</v>
      </c>
      <c r="N27" s="9" t="n">
        <f aca="false">SUM(B27:M27)</f>
        <v>46598.97</v>
      </c>
      <c r="P27" s="9" t="n">
        <f aca="false">AVERAGE(B27:H27)</f>
        <v>3883.42428571429</v>
      </c>
      <c r="Q27" s="20" t="n">
        <v>3883</v>
      </c>
      <c r="R27" s="2" t="s">
        <v>212</v>
      </c>
    </row>
    <row r="28" customFormat="false" ht="15" hidden="false" customHeight="false" outlineLevel="0" collapsed="false">
      <c r="A28" s="7" t="s">
        <v>213</v>
      </c>
      <c r="B28" s="16" t="n">
        <v>0</v>
      </c>
      <c r="C28" s="16" t="n">
        <v>0</v>
      </c>
      <c r="D28" s="16" t="n">
        <v>25</v>
      </c>
      <c r="E28" s="16" t="n">
        <v>25</v>
      </c>
      <c r="F28" s="16" t="n">
        <v>25</v>
      </c>
      <c r="G28" s="16" t="n">
        <v>25</v>
      </c>
      <c r="H28" s="16" t="n">
        <v>25</v>
      </c>
      <c r="I28" s="9" t="n">
        <f aca="false">$Q28</f>
        <v>25</v>
      </c>
      <c r="J28" s="9" t="n">
        <f aca="false">$Q28</f>
        <v>25</v>
      </c>
      <c r="K28" s="9" t="n">
        <f aca="false">$Q28</f>
        <v>25</v>
      </c>
      <c r="L28" s="9" t="n">
        <f aca="false">$Q28</f>
        <v>25</v>
      </c>
      <c r="M28" s="9" t="n">
        <f aca="false">$Q28</f>
        <v>25</v>
      </c>
      <c r="N28" s="9" t="n">
        <f aca="false">SUM(B28:M28)</f>
        <v>250</v>
      </c>
      <c r="P28" s="9" t="n">
        <f aca="false">AVERAGE(B28:H28)</f>
        <v>17.8571428571429</v>
      </c>
      <c r="Q28" s="20" t="n">
        <v>25</v>
      </c>
      <c r="R28" s="2" t="s">
        <v>187</v>
      </c>
    </row>
    <row r="29" customFormat="false" ht="15" hidden="false" customHeight="false" outlineLevel="0" collapsed="false">
      <c r="A29" s="10" t="s">
        <v>214</v>
      </c>
      <c r="B29" s="11" t="n">
        <f aca="false">SUM(B26:B28)</f>
        <v>26436.8</v>
      </c>
      <c r="C29" s="11" t="n">
        <f aca="false">SUM(C26:C28)</f>
        <v>29901</v>
      </c>
      <c r="D29" s="11" t="n">
        <f aca="false">SUM(D26:D28)</f>
        <v>25379.89</v>
      </c>
      <c r="E29" s="11" t="n">
        <f aca="false">SUM(E26:E28)</f>
        <v>38941.43</v>
      </c>
      <c r="F29" s="11" t="n">
        <f aca="false">SUM(F26:F28)</f>
        <v>19926</v>
      </c>
      <c r="G29" s="11" t="n">
        <f aca="false">SUM(G26:G28)</f>
        <v>36475.21</v>
      </c>
      <c r="H29" s="11" t="n">
        <f aca="false">SUM(H26:H28)</f>
        <v>41558.74</v>
      </c>
      <c r="I29" s="11" t="n">
        <f aca="false">SUM(I26:I28)</f>
        <v>31238</v>
      </c>
      <c r="J29" s="11" t="n">
        <f aca="false">SUM(J26:J28)</f>
        <v>31238</v>
      </c>
      <c r="K29" s="11" t="n">
        <f aca="false">SUM(K26:K28)</f>
        <v>31238</v>
      </c>
      <c r="L29" s="11" t="n">
        <f aca="false">SUM(L26:L28)</f>
        <v>31238</v>
      </c>
      <c r="M29" s="11" t="n">
        <f aca="false">SUM(M26:M28)</f>
        <v>31238</v>
      </c>
      <c r="N29" s="11" t="n">
        <f aca="false">SUM(N26:N28)</f>
        <v>374809.07</v>
      </c>
      <c r="Q29" s="11" t="n">
        <f aca="false">SUM(Q26:Q28)</f>
        <v>31238</v>
      </c>
    </row>
    <row r="31" customFormat="false" ht="15" hidden="false" customHeight="false" outlineLevel="0" collapsed="false">
      <c r="A31" s="5" t="s">
        <v>215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customFormat="false" ht="15" hidden="false" customHeight="false" outlineLevel="0" collapsed="false">
      <c r="A32" s="7" t="s">
        <v>216</v>
      </c>
      <c r="B32" s="16" t="n">
        <v>1493.5</v>
      </c>
      <c r="C32" s="16" t="n">
        <v>1493.5</v>
      </c>
      <c r="D32" s="16" t="n">
        <v>1493.5</v>
      </c>
      <c r="E32" s="16" t="n">
        <v>1493.5</v>
      </c>
      <c r="F32" s="16" t="n">
        <v>1493.5</v>
      </c>
      <c r="G32" s="16" t="n">
        <v>1493.5</v>
      </c>
      <c r="H32" s="16" t="n">
        <v>1493.5</v>
      </c>
      <c r="I32" s="9" t="n">
        <f aca="false">$Q32</f>
        <v>1493</v>
      </c>
      <c r="J32" s="9" t="n">
        <f aca="false">$Q32</f>
        <v>1493</v>
      </c>
      <c r="K32" s="9" t="n">
        <f aca="false">$Q32</f>
        <v>1493</v>
      </c>
      <c r="L32" s="9" t="n">
        <f aca="false">$Q32</f>
        <v>1493</v>
      </c>
      <c r="M32" s="9" t="n">
        <f aca="false">$Q32</f>
        <v>1493</v>
      </c>
      <c r="N32" s="9" t="n">
        <f aca="false">SUM(B32:M32)</f>
        <v>17919.5</v>
      </c>
      <c r="P32" s="9" t="n">
        <f aca="false">AVERAGE(B32:H32)</f>
        <v>1493.5</v>
      </c>
      <c r="Q32" s="20" t="n">
        <v>1493</v>
      </c>
      <c r="R32" s="2" t="s">
        <v>217</v>
      </c>
    </row>
    <row r="33" customFormat="false" ht="15" hidden="false" customHeight="false" outlineLevel="0" collapsed="false">
      <c r="A33" s="7" t="s">
        <v>218</v>
      </c>
      <c r="B33" s="16" t="n">
        <v>0</v>
      </c>
      <c r="C33" s="16" t="n">
        <v>0</v>
      </c>
      <c r="D33" s="16" t="n">
        <v>13972</v>
      </c>
      <c r="E33" s="16" t="n">
        <v>0</v>
      </c>
      <c r="F33" s="16" t="n">
        <v>0</v>
      </c>
      <c r="G33" s="16" t="n">
        <v>0</v>
      </c>
      <c r="H33" s="16" t="n">
        <v>0</v>
      </c>
      <c r="I33" s="9" t="n">
        <f aca="false">$Q33</f>
        <v>0</v>
      </c>
      <c r="J33" s="9" t="n">
        <f aca="false">$Q33</f>
        <v>0</v>
      </c>
      <c r="K33" s="9" t="n">
        <f aca="false">$Q33</f>
        <v>0</v>
      </c>
      <c r="L33" s="9" t="n">
        <f aca="false">$Q33</f>
        <v>0</v>
      </c>
      <c r="M33" s="9" t="n">
        <f aca="false">$Q33</f>
        <v>0</v>
      </c>
      <c r="N33" s="9" t="n">
        <f aca="false">SUM(B33:M33)</f>
        <v>13972</v>
      </c>
      <c r="P33" s="9" t="n">
        <f aca="false">AVERAGE(B33:H33)</f>
        <v>1996</v>
      </c>
      <c r="Q33" s="20" t="n">
        <v>0</v>
      </c>
      <c r="R33" s="2" t="s">
        <v>219</v>
      </c>
    </row>
    <row r="34" customFormat="false" ht="15" hidden="false" customHeight="false" outlineLevel="0" collapsed="false">
      <c r="A34" s="7" t="s">
        <v>220</v>
      </c>
      <c r="B34" s="16" t="n">
        <v>0</v>
      </c>
      <c r="C34" s="16" t="n">
        <v>0</v>
      </c>
      <c r="D34" s="16" t="n">
        <v>7825</v>
      </c>
      <c r="E34" s="16" t="n">
        <v>0</v>
      </c>
      <c r="F34" s="16" t="n">
        <v>0</v>
      </c>
      <c r="G34" s="16" t="n">
        <v>0</v>
      </c>
      <c r="H34" s="16" t="n">
        <v>0</v>
      </c>
      <c r="I34" s="9" t="n">
        <f aca="false">$Q34</f>
        <v>0</v>
      </c>
      <c r="J34" s="9" t="n">
        <f aca="false">$Q34</f>
        <v>0</v>
      </c>
      <c r="K34" s="9" t="n">
        <f aca="false">$Q34</f>
        <v>0</v>
      </c>
      <c r="L34" s="9" t="n">
        <f aca="false">$Q34</f>
        <v>0</v>
      </c>
      <c r="M34" s="9" t="n">
        <f aca="false">$Q34</f>
        <v>0</v>
      </c>
      <c r="N34" s="9" t="n">
        <f aca="false">SUM(B34:M34)</f>
        <v>7825</v>
      </c>
      <c r="P34" s="9" t="n">
        <f aca="false">AVERAGE(B34:H34)</f>
        <v>1117.85714285714</v>
      </c>
      <c r="Q34" s="20" t="n">
        <v>0</v>
      </c>
      <c r="R34" s="2" t="s">
        <v>221</v>
      </c>
    </row>
    <row r="35" customFormat="false" ht="15" hidden="false" customHeight="false" outlineLevel="0" collapsed="false">
      <c r="A35" s="7" t="s">
        <v>222</v>
      </c>
      <c r="B35" s="16" t="n">
        <v>0</v>
      </c>
      <c r="C35" s="16" t="n">
        <v>0</v>
      </c>
      <c r="D35" s="16" t="n">
        <v>0</v>
      </c>
      <c r="E35" s="16" t="n">
        <v>59.5</v>
      </c>
      <c r="F35" s="16" t="n">
        <v>0</v>
      </c>
      <c r="G35" s="16" t="n">
        <v>59.5</v>
      </c>
      <c r="H35" s="16" t="n">
        <v>0</v>
      </c>
      <c r="I35" s="9" t="n">
        <f aca="false">$Q35</f>
        <v>34</v>
      </c>
      <c r="J35" s="9" t="n">
        <f aca="false">$Q35</f>
        <v>34</v>
      </c>
      <c r="K35" s="9" t="n">
        <f aca="false">$Q35</f>
        <v>34</v>
      </c>
      <c r="L35" s="9" t="n">
        <f aca="false">$Q35</f>
        <v>34</v>
      </c>
      <c r="M35" s="9" t="n">
        <f aca="false">$Q35</f>
        <v>34</v>
      </c>
      <c r="N35" s="9" t="n">
        <f aca="false">SUM(B35:M35)</f>
        <v>289</v>
      </c>
      <c r="P35" s="9" t="n">
        <f aca="false">AVERAGE(B35:H35)</f>
        <v>17</v>
      </c>
      <c r="Q35" s="20" t="n">
        <v>34</v>
      </c>
      <c r="R35" s="2" t="s">
        <v>187</v>
      </c>
    </row>
    <row r="36" customFormat="false" ht="15" hidden="false" customHeight="false" outlineLevel="0" collapsed="false">
      <c r="A36" s="7" t="s">
        <v>223</v>
      </c>
      <c r="B36" s="16" t="n">
        <v>0</v>
      </c>
      <c r="C36" s="16" t="n">
        <v>1179.8</v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9" t="n">
        <f aca="false">$Q36</f>
        <v>0</v>
      </c>
      <c r="J36" s="9" t="n">
        <f aca="false">$Q36</f>
        <v>0</v>
      </c>
      <c r="K36" s="9" t="n">
        <f aca="false">$Q36</f>
        <v>0</v>
      </c>
      <c r="L36" s="9" t="n">
        <f aca="false">$Q36</f>
        <v>0</v>
      </c>
      <c r="M36" s="9" t="n">
        <f aca="false">$Q36</f>
        <v>0</v>
      </c>
      <c r="N36" s="9" t="n">
        <f aca="false">SUM(B36:M36)</f>
        <v>1179.8</v>
      </c>
      <c r="P36" s="9" t="n">
        <f aca="false">AVERAGE(B36:H36)</f>
        <v>168.542857142857</v>
      </c>
      <c r="Q36" s="20" t="n">
        <v>0</v>
      </c>
      <c r="R36" s="2" t="s">
        <v>224</v>
      </c>
    </row>
    <row r="37" customFormat="false" ht="15" hidden="false" customHeight="false" outlineLevel="0" collapsed="false">
      <c r="A37" s="7" t="s">
        <v>225</v>
      </c>
      <c r="B37" s="16" t="n">
        <v>0</v>
      </c>
      <c r="C37" s="16" t="n">
        <v>0</v>
      </c>
      <c r="D37" s="16" t="n">
        <v>0</v>
      </c>
      <c r="E37" s="16" t="n">
        <v>0</v>
      </c>
      <c r="F37" s="16" t="n">
        <v>1646.42</v>
      </c>
      <c r="G37" s="16" t="n">
        <v>0</v>
      </c>
      <c r="H37" s="16" t="n">
        <v>0</v>
      </c>
      <c r="I37" s="9" t="n">
        <f aca="false">$Q37</f>
        <v>400</v>
      </c>
      <c r="J37" s="9" t="n">
        <f aca="false">$Q37</f>
        <v>400</v>
      </c>
      <c r="K37" s="9" t="n">
        <f aca="false">$Q37</f>
        <v>400</v>
      </c>
      <c r="L37" s="9" t="n">
        <f aca="false">$Q37</f>
        <v>400</v>
      </c>
      <c r="M37" s="9" t="n">
        <f aca="false">$Q37</f>
        <v>400</v>
      </c>
      <c r="N37" s="9" t="n">
        <f aca="false">SUM(B37:M37)</f>
        <v>3646.42</v>
      </c>
      <c r="P37" s="9" t="n">
        <f aca="false">AVERAGE(B37:H37)</f>
        <v>235.202857142857</v>
      </c>
      <c r="Q37" s="20" t="n">
        <v>400</v>
      </c>
      <c r="R37" s="2" t="s">
        <v>226</v>
      </c>
    </row>
    <row r="38" customFormat="false" ht="15" hidden="false" customHeight="false" outlineLevel="0" collapsed="false">
      <c r="A38" s="7" t="s">
        <v>227</v>
      </c>
      <c r="B38" s="16" t="n">
        <v>482.5</v>
      </c>
      <c r="C38" s="16" t="n">
        <v>108.75</v>
      </c>
      <c r="D38" s="16" t="n">
        <v>113.75</v>
      </c>
      <c r="E38" s="16" t="n">
        <v>487.5</v>
      </c>
      <c r="F38" s="16" t="n">
        <v>108.75</v>
      </c>
      <c r="G38" s="16" t="n">
        <v>112.5</v>
      </c>
      <c r="H38" s="16" t="n">
        <v>110</v>
      </c>
      <c r="I38" s="9" t="n">
        <f aca="false">$Q38</f>
        <v>150</v>
      </c>
      <c r="J38" s="9" t="n">
        <f aca="false">$Q38</f>
        <v>150</v>
      </c>
      <c r="K38" s="9" t="n">
        <f aca="false">$Q38</f>
        <v>150</v>
      </c>
      <c r="L38" s="9" t="n">
        <f aca="false">$Q38</f>
        <v>150</v>
      </c>
      <c r="M38" s="9" t="n">
        <f aca="false">$Q38</f>
        <v>150</v>
      </c>
      <c r="N38" s="9" t="n">
        <f aca="false">SUM(B38:M38)</f>
        <v>2273.75</v>
      </c>
      <c r="P38" s="9" t="n">
        <f aca="false">AVERAGE(B38:H38)</f>
        <v>217.678571428571</v>
      </c>
      <c r="Q38" s="20" t="n">
        <v>150</v>
      </c>
      <c r="R38" s="2" t="s">
        <v>187</v>
      </c>
    </row>
    <row r="39" customFormat="false" ht="15" hidden="false" customHeight="false" outlineLevel="0" collapsed="false">
      <c r="A39" s="7" t="s">
        <v>228</v>
      </c>
      <c r="B39" s="16" t="n">
        <v>2498.74</v>
      </c>
      <c r="C39" s="16" t="n">
        <v>1510.56</v>
      </c>
      <c r="D39" s="16" t="n">
        <v>1887.58</v>
      </c>
      <c r="E39" s="16" t="n">
        <v>2103.74</v>
      </c>
      <c r="F39" s="16" t="n">
        <v>3598.58</v>
      </c>
      <c r="G39" s="16" t="n">
        <v>2575.94</v>
      </c>
      <c r="H39" s="16" t="n">
        <v>1883.16</v>
      </c>
      <c r="I39" s="9" t="n">
        <f aca="false">$Q39</f>
        <v>2294</v>
      </c>
      <c r="J39" s="9" t="n">
        <f aca="false">$Q39</f>
        <v>2294</v>
      </c>
      <c r="K39" s="9" t="n">
        <f aca="false">$Q39</f>
        <v>2294</v>
      </c>
      <c r="L39" s="9" t="n">
        <f aca="false">$Q39</f>
        <v>2294</v>
      </c>
      <c r="M39" s="9" t="n">
        <f aca="false">$Q39</f>
        <v>2294</v>
      </c>
      <c r="N39" s="9" t="n">
        <f aca="false">SUM(B39:M39)</f>
        <v>27528.3</v>
      </c>
      <c r="P39" s="9" t="n">
        <f aca="false">AVERAGE(B39:H39)</f>
        <v>2294.04285714286</v>
      </c>
      <c r="Q39" s="20" t="n">
        <v>2294</v>
      </c>
      <c r="R39" s="2" t="s">
        <v>229</v>
      </c>
    </row>
    <row r="40" customFormat="false" ht="15" hidden="false" customHeight="false" outlineLevel="0" collapsed="false">
      <c r="A40" s="10" t="s">
        <v>230</v>
      </c>
      <c r="B40" s="11" t="n">
        <f aca="false">SUM(B32:B39)</f>
        <v>4474.74</v>
      </c>
      <c r="C40" s="11" t="n">
        <f aca="false">SUM(C32:C39)</f>
        <v>4292.61</v>
      </c>
      <c r="D40" s="11" t="n">
        <f aca="false">SUM(D32:D39)</f>
        <v>25291.83</v>
      </c>
      <c r="E40" s="11" t="n">
        <f aca="false">SUM(E32:E39)</f>
        <v>4144.24</v>
      </c>
      <c r="F40" s="11" t="n">
        <f aca="false">SUM(F32:F39)</f>
        <v>6847.25</v>
      </c>
      <c r="G40" s="11" t="n">
        <f aca="false">SUM(G32:G39)</f>
        <v>4241.44</v>
      </c>
      <c r="H40" s="11" t="n">
        <f aca="false">SUM(H32:H39)</f>
        <v>3486.66</v>
      </c>
      <c r="I40" s="11" t="n">
        <f aca="false">SUM(I32:I39)</f>
        <v>4371</v>
      </c>
      <c r="J40" s="11" t="n">
        <f aca="false">SUM(J32:J39)</f>
        <v>4371</v>
      </c>
      <c r="K40" s="11" t="n">
        <f aca="false">SUM(K32:K39)</f>
        <v>4371</v>
      </c>
      <c r="L40" s="11" t="n">
        <f aca="false">SUM(L32:L39)</f>
        <v>4371</v>
      </c>
      <c r="M40" s="11" t="n">
        <f aca="false">SUM(M32:M39)</f>
        <v>4371</v>
      </c>
      <c r="N40" s="11" t="n">
        <f aca="false">SUM(N32:N39)</f>
        <v>74633.77</v>
      </c>
      <c r="Q40" s="11" t="n">
        <f aca="false">SUM(Q32:Q39)</f>
        <v>4371</v>
      </c>
    </row>
    <row r="42" customFormat="false" ht="15" hidden="false" customHeight="false" outlineLevel="0" collapsed="false">
      <c r="A42" s="12" t="s">
        <v>30</v>
      </c>
      <c r="B42" s="13" t="n">
        <f aca="false">B11+B16+B23+B29+B40</f>
        <v>73608.97</v>
      </c>
      <c r="C42" s="13" t="n">
        <f aca="false">C11+C16+C23+C29+C40</f>
        <v>106908.5</v>
      </c>
      <c r="D42" s="13" t="n">
        <f aca="false">D11+D16+D23+D29+D40</f>
        <v>124259.32</v>
      </c>
      <c r="E42" s="13" t="n">
        <f aca="false">E11+E16+E23+E29+E40</f>
        <v>83369.09</v>
      </c>
      <c r="F42" s="13" t="n">
        <f aca="false">F11+F16+F23+F29+F40</f>
        <v>60793.95</v>
      </c>
      <c r="G42" s="13" t="n">
        <f aca="false">G11+G16+G23+G29+G40</f>
        <v>135290.23</v>
      </c>
      <c r="H42" s="13" t="n">
        <f aca="false">H11+H16+H23+H29+H40</f>
        <v>73510.06</v>
      </c>
      <c r="I42" s="13" t="n">
        <f aca="false">I11+I16+I23+I29+I40</f>
        <v>90559</v>
      </c>
      <c r="J42" s="13" t="n">
        <f aca="false">J11+J16+J23+J29+J40</f>
        <v>90559</v>
      </c>
      <c r="K42" s="13" t="n">
        <f aca="false">K11+K16+K23+K29+K40</f>
        <v>90559</v>
      </c>
      <c r="L42" s="13" t="n">
        <f aca="false">L11+L16+L23+L29+L40</f>
        <v>90559</v>
      </c>
      <c r="M42" s="13" t="n">
        <f aca="false">M11+M16+M23+M29+M40</f>
        <v>90559</v>
      </c>
      <c r="N42" s="13" t="n">
        <f aca="false">N11+N16+N23+N29+N40</f>
        <v>1110535.12</v>
      </c>
      <c r="O42" s="36"/>
      <c r="P42" s="36"/>
      <c r="Q42" s="13" t="n">
        <f aca="false">Q11+Q16+Q23+Q29+Q40</f>
        <v>90559</v>
      </c>
      <c r="R42" s="36"/>
    </row>
    <row r="44" customFormat="false" ht="15" hidden="false" customHeight="false" outlineLevel="0" collapsed="false">
      <c r="A44" s="2" t="s">
        <v>231</v>
      </c>
    </row>
    <row r="45" customFormat="false" ht="15" hidden="false" customHeight="false" outlineLevel="0" collapsed="false">
      <c r="A45" s="2" t="s">
        <v>232</v>
      </c>
    </row>
  </sheetData>
  <mergeCells count="2">
    <mergeCell ref="B3:H3"/>
    <mergeCell ref="I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2026-08-23T21:25:27Z</dcterms:created>
  <dc:creator>openpyxl</dc:creator>
  <dc:description/>
  <dc:language>en-US</dc:language>
  <cp:lastModifiedBy/>
  <dcterms:modified xsi:type="dcterms:W3CDTF">2026-08-23T21:25:27Z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