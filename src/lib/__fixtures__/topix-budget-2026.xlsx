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sætning2025" sheetId="1" r:id="rId5"/>
    <sheet state="visible" name="Budget2025" sheetId="2" r:id="rId6"/>
    <sheet state="visible" name="Opsætning2026" sheetId="3" r:id="rId7"/>
    <sheet state="visible" name="Budget2026" sheetId="4" r:id="rId8"/>
    <sheet state="visible" name="ML tilgodehavende" sheetId="5" r:id="rId9"/>
    <sheet state="hidden" name="Indsigt &amp; Overblik" sheetId="6" r:id="rId10"/>
    <sheet state="hidden" name="Marketing" sheetId="7" r:id="rId11"/>
    <sheet state="hidden" name="Fragt &amp; Logistik" sheetId="8" r:id="rId12"/>
  </sheets>
  <definedNames/>
  <calcPr/>
</workbook>
</file>

<file path=xl/sharedStrings.xml><?xml version="1.0" encoding="utf-8"?>
<sst xmlns="http://schemas.openxmlformats.org/spreadsheetml/2006/main" count="242" uniqueCount="159">
  <si>
    <t>Opsætning</t>
  </si>
  <si>
    <t>Generelt</t>
  </si>
  <si>
    <t>Virksomhed</t>
  </si>
  <si>
    <r>
      <rPr>
        <i/>
        <color rgb="FF1155CC"/>
        <u/>
      </rPr>
      <t>Topix.dk</t>
    </r>
    <r>
      <rPr>
        <i/>
      </rPr>
      <t xml:space="preserve"> ApS</t>
    </r>
  </si>
  <si>
    <r>
      <rPr>
        <rFont val="Arial"/>
        <color rgb="FF1155CC"/>
        <u/>
      </rPr>
      <t>Topix.dk</t>
    </r>
    <r>
      <rPr>
        <rFont val="Arial"/>
      </rPr>
      <t xml:space="preserve"> ApS</t>
    </r>
  </si>
  <si>
    <t>Valuta</t>
  </si>
  <si>
    <t>DKK</t>
  </si>
  <si>
    <t>Budgetår</t>
  </si>
  <si>
    <t>Momssats</t>
  </si>
  <si>
    <t>Lønrelaterede omkostninger (feriepenge + div.)</t>
  </si>
  <si>
    <t>Årstotal</t>
  </si>
  <si>
    <t>Omsætning</t>
  </si>
  <si>
    <t>Måneder</t>
  </si>
  <si>
    <t>januar-26</t>
  </si>
  <si>
    <t>D2C Salg</t>
  </si>
  <si>
    <t>Topix salg</t>
  </si>
  <si>
    <t>februar-26</t>
  </si>
  <si>
    <t>marts-26</t>
  </si>
  <si>
    <t>januar-25</t>
  </si>
  <si>
    <t>april-26</t>
  </si>
  <si>
    <t>maj-26</t>
  </si>
  <si>
    <t>juni-26</t>
  </si>
  <si>
    <t>juli-26</t>
  </si>
  <si>
    <t>august-26</t>
  </si>
  <si>
    <t>september-26</t>
  </si>
  <si>
    <t>oktober-26</t>
  </si>
  <si>
    <t>november-26</t>
  </si>
  <si>
    <t>december-26</t>
  </si>
  <si>
    <t>Total</t>
  </si>
  <si>
    <t>februar-25</t>
  </si>
  <si>
    <t>marts-25</t>
  </si>
  <si>
    <t>april-25</t>
  </si>
  <si>
    <t>maj-25</t>
  </si>
  <si>
    <t>juni-25</t>
  </si>
  <si>
    <t>juli-25</t>
  </si>
  <si>
    <t>august-25</t>
  </si>
  <si>
    <t>september-25</t>
  </si>
  <si>
    <t>oktober-25</t>
  </si>
  <si>
    <t>november-25</t>
  </si>
  <si>
    <t>december-25</t>
  </si>
  <si>
    <t>Dage i måned</t>
  </si>
  <si>
    <t>Total:</t>
  </si>
  <si>
    <t>B2B Salg</t>
  </si>
  <si>
    <t>Direkte omkostninger</t>
  </si>
  <si>
    <t>D2C Vareforbrug</t>
  </si>
  <si>
    <t>Boardroom salg</t>
  </si>
  <si>
    <t>B2C Ordrer</t>
  </si>
  <si>
    <t>D2C Fragt &amp; emballage</t>
  </si>
  <si>
    <t>B2B Vareforbrug</t>
  </si>
  <si>
    <t>Gns. Produkter per B2C ordre</t>
  </si>
  <si>
    <t>B2B Fragt &amp; emballage</t>
  </si>
  <si>
    <t>Gns. B2C Ordreværdi (inkl. moms)</t>
  </si>
  <si>
    <t>Dækningsbidrag</t>
  </si>
  <si>
    <t>Topix medlemmer</t>
  </si>
  <si>
    <t>Gns. B2C Fortjeneste</t>
  </si>
  <si>
    <t>Boardroom medlemmer</t>
  </si>
  <si>
    <t>Topix pris pr medlem</t>
  </si>
  <si>
    <t>B2B Salg (ex. moms)</t>
  </si>
  <si>
    <t>Boardroom pris pr medlem</t>
  </si>
  <si>
    <t>Bruttomargin</t>
  </si>
  <si>
    <t>Marketing</t>
  </si>
  <si>
    <t>Marketingspend</t>
  </si>
  <si>
    <t>Spend Management</t>
  </si>
  <si>
    <t>Gns. B2B Fortjeneste</t>
  </si>
  <si>
    <t>Logistik &amp; Fragt</t>
  </si>
  <si>
    <t>Gns. fragtpris per D2C ordre</t>
  </si>
  <si>
    <t>Gns. pris per kunde</t>
  </si>
  <si>
    <t>Gns. emballagepris per D2C ordre (inkl pluk/pak)</t>
  </si>
  <si>
    <t>Returgebyr ved uafhentet pakke</t>
  </si>
  <si>
    <t>Kunder købt</t>
  </si>
  <si>
    <t>Returprocent</t>
  </si>
  <si>
    <t>Variable omkostninger</t>
  </si>
  <si>
    <t>B2B Fragt</t>
  </si>
  <si>
    <t>Købte kunder (%)</t>
  </si>
  <si>
    <t>Organiske kunder (%)</t>
  </si>
  <si>
    <t>Betalingshåndtering</t>
  </si>
  <si>
    <t>Abonnement</t>
  </si>
  <si>
    <t>Betalingsgebyr (%)</t>
  </si>
  <si>
    <t>Contentproduktion</t>
  </si>
  <si>
    <t>Repræsentation</t>
  </si>
  <si>
    <t>Kundekompensation</t>
  </si>
  <si>
    <t>Brugere der forlænger aftale</t>
  </si>
  <si>
    <t>Pris pr år</t>
  </si>
  <si>
    <t>Betalingsgate</t>
  </si>
  <si>
    <t>Indtægt</t>
  </si>
  <si>
    <t>Antal abb</t>
  </si>
  <si>
    <t>Pris ex. moms</t>
  </si>
  <si>
    <t>Medarbejdere</t>
  </si>
  <si>
    <t>Løn</t>
  </si>
  <si>
    <t>Casper Edens</t>
  </si>
  <si>
    <t>Lønrelaterede omkostninger</t>
  </si>
  <si>
    <t>Medarbejderpleje</t>
  </si>
  <si>
    <t>Shop &amp; IT</t>
  </si>
  <si>
    <t>Platform (website &amp; Circle.so)</t>
  </si>
  <si>
    <t>Boardroom</t>
  </si>
  <si>
    <t>Udvikling, design &amp; vedligeholdelse</t>
  </si>
  <si>
    <t>Hosting &amp; Domæne</t>
  </si>
  <si>
    <t>Stape</t>
  </si>
  <si>
    <t>Zoom</t>
  </si>
  <si>
    <t>Cloudflare</t>
  </si>
  <si>
    <t>Klayvio</t>
  </si>
  <si>
    <t>Cookieinformation</t>
  </si>
  <si>
    <t>Google Workspace</t>
  </si>
  <si>
    <t>Kingsta</t>
  </si>
  <si>
    <t>Total indtægt år 1</t>
  </si>
  <si>
    <t>Corpay</t>
  </si>
  <si>
    <t>Slack</t>
  </si>
  <si>
    <t>Antal medlemmer Boardroom</t>
  </si>
  <si>
    <t>Monday</t>
  </si>
  <si>
    <t>Loom</t>
  </si>
  <si>
    <t>Riverside</t>
  </si>
  <si>
    <t>Antal medlemmer Topix</t>
  </si>
  <si>
    <t>Lokaler</t>
  </si>
  <si>
    <t>Kontorleje (Brunbjergvej + Silkeborg)</t>
  </si>
  <si>
    <t>Gnm. ordre, DKK inkl. moms</t>
  </si>
  <si>
    <t>Oms pr måned</t>
  </si>
  <si>
    <t>Lagerleje</t>
  </si>
  <si>
    <t>Vand &amp; varme</t>
  </si>
  <si>
    <t>Total indtægt pr år</t>
  </si>
  <si>
    <t>El</t>
  </si>
  <si>
    <t>Administrativt</t>
  </si>
  <si>
    <t>Opstartsomkostninger</t>
  </si>
  <si>
    <t>Kontorartikler &amp; møbler</t>
  </si>
  <si>
    <t>IT-udstyr</t>
  </si>
  <si>
    <t>Udvikling &amp; vedligeholdelse</t>
  </si>
  <si>
    <t>Telefon &amp; Internet</t>
  </si>
  <si>
    <t xml:space="preserve">Antal </t>
  </si>
  <si>
    <t>Pris</t>
  </si>
  <si>
    <t>I alt</t>
  </si>
  <si>
    <t>Udlægsholder</t>
  </si>
  <si>
    <t>Forsikringer</t>
  </si>
  <si>
    <r>
      <rPr>
        <color rgb="FF1155CC"/>
        <u/>
      </rPr>
      <t>Circle.so</t>
    </r>
    <r>
      <rPr>
        <color rgb="FF000000"/>
      </rPr>
      <t xml:space="preserve"> (business plan, 1 month)</t>
    </r>
  </si>
  <si>
    <t>Software og abonnementer</t>
  </si>
  <si>
    <t>Advokat</t>
  </si>
  <si>
    <t>Bogholderi &amp; revision</t>
  </si>
  <si>
    <t>Nye brugere</t>
  </si>
  <si>
    <t>Uforudsete omkostninger (5% af fast base)</t>
  </si>
  <si>
    <t>Kontorleje</t>
  </si>
  <si>
    <t>Resultat</t>
  </si>
  <si>
    <t>Nettomargin</t>
  </si>
  <si>
    <t>Jonas</t>
  </si>
  <si>
    <r>
      <rPr/>
      <t xml:space="preserve">domæne, </t>
    </r>
    <r>
      <rPr>
        <color rgb="FF1155CC"/>
        <u/>
      </rPr>
      <t>youngstar.dk</t>
    </r>
  </si>
  <si>
    <t>domæne, youngstar.dk</t>
  </si>
  <si>
    <r>
      <rPr/>
      <t xml:space="preserve">domæne, </t>
    </r>
    <r>
      <rPr>
        <color rgb="FF1155CC"/>
        <u/>
      </rPr>
      <t>topix.dk</t>
    </r>
  </si>
  <si>
    <r>
      <rPr>
        <color rgb="FF1155CC"/>
        <u/>
      </rPr>
      <t>Cirlce.so</t>
    </r>
    <r>
      <rPr/>
      <t xml:space="preserve"> (Entreprise plan, 1 year)</t>
    </r>
  </si>
  <si>
    <t>Antal nye medlemmer</t>
  </si>
  <si>
    <t>Morten</t>
  </si>
  <si>
    <r>
      <rPr/>
      <t xml:space="preserve">Identitet, website, </t>
    </r>
    <r>
      <rPr>
        <color rgb="FF1155CC"/>
        <u/>
      </rPr>
      <t>circle.so</t>
    </r>
    <r>
      <rPr/>
      <t xml:space="preserve"> (Kasper)</t>
    </r>
  </si>
  <si>
    <t>Total indtægt</t>
  </si>
  <si>
    <t>Vedio december/januar</t>
  </si>
  <si>
    <t>Jonas løn</t>
  </si>
  <si>
    <t>ML konsulent</t>
  </si>
  <si>
    <t>Total indtægt, ex. moms</t>
  </si>
  <si>
    <t>Hoffe</t>
  </si>
  <si>
    <t>Alle tal er i antal styk</t>
  </si>
  <si>
    <t>Ordrer</t>
  </si>
  <si>
    <t>Nye kunder</t>
  </si>
  <si>
    <t>Tilbagevendende kunder</t>
  </si>
  <si>
    <t>Gns. køb per kunde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</si>
</sst>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&quot;-&quot;yy"/>
    <numFmt numFmtId="165" formatCode="_-[$kr-406]* #,##0_-;_-[$kr-406]* \-#,##0_-;_-[$kr-406]* &quot;-&quot;??_-;_-@"/>
    <numFmt numFmtId="166" formatCode="[$kr-406]\ #,##0.00"/>
    <numFmt numFmtId="167" formatCode="_-[$kr-406]* #,##0.00_-;_-[$kr-406]* \-#,##0.00_-;_-[$kr-406]* &quot;-&quot;??_-;_-@"/>
    <numFmt numFmtId="168" formatCode="0.0%"/>
    <numFmt numFmtId="169" formatCode="#,##0.00[$ kr.]"/>
    <numFmt numFmtId="170" formatCode="[$$]#,##0.00"/>
  </numFmts>
  <fonts count="38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sz val="14.0"/>
      <color theme="1"/>
      <name val="Arial"/>
    </font>
    <font>
      <i/>
      <u/>
      <color rgb="FF0000FF"/>
    </font>
    <font>
      <b/>
      <sz val="24.0"/>
      <color theme="1"/>
      <name val="Arial"/>
      <scheme val="minor"/>
    </font>
    <font>
      <b/>
      <i/>
      <sz val="14.0"/>
      <color theme="1"/>
      <name val="Arial"/>
      <scheme val="minor"/>
    </font>
    <font>
      <u/>
      <color rgb="FF0000FF"/>
      <name val="Arial"/>
    </font>
    <font/>
    <font>
      <i/>
      <color theme="1"/>
      <name val="Arial"/>
    </font>
    <font>
      <i/>
      <color rgb="FFFFFFFF"/>
      <name val="Arial"/>
      <scheme val="minor"/>
    </font>
    <font>
      <b/>
      <color rgb="FFFFFFFF"/>
      <name val="Arial"/>
      <scheme val="minor"/>
    </font>
    <font>
      <i/>
      <color theme="1"/>
      <name val="Arial"/>
      <scheme val="minor"/>
    </font>
    <font>
      <i/>
      <color rgb="FFEFEFEF"/>
      <name val="Arial"/>
    </font>
    <font>
      <b/>
      <color theme="1"/>
      <name val="Arial"/>
      <scheme val="minor"/>
    </font>
    <font>
      <i/>
      <color rgb="FFEFEFEF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B7B7B7"/>
      <name val="Arial"/>
      <scheme val="minor"/>
    </font>
    <font>
      <b/>
      <i/>
      <sz val="11.0"/>
      <color theme="1"/>
      <name val="Arial"/>
    </font>
    <font>
      <b/>
      <i/>
      <sz val="11.0"/>
      <color theme="1"/>
      <name val="Arial"/>
      <scheme val="minor"/>
    </font>
    <font>
      <b/>
      <i/>
      <color theme="1"/>
      <name val="Arial"/>
      <scheme val="minor"/>
    </font>
    <font>
      <b/>
      <i/>
      <color rgb="FFB7B7B7"/>
      <name val="Arial"/>
      <scheme val="minor"/>
    </font>
    <font>
      <i/>
      <sz val="8.0"/>
      <color rgb="FFB7B7B7"/>
      <name val="Arial"/>
      <scheme val="minor"/>
    </font>
    <font>
      <color rgb="FF000000"/>
      <name val="Arial"/>
      <scheme val="minor"/>
    </font>
    <font>
      <b/>
      <color rgb="FF999999"/>
      <name val="Arial"/>
    </font>
    <font>
      <color rgb="FF999999"/>
      <name val="Arial"/>
    </font>
    <font>
      <color rgb="FF999999"/>
      <name val="Arial"/>
      <scheme val="minor"/>
    </font>
    <font>
      <u/>
      <color rgb="FF0000FF"/>
    </font>
    <font>
      <b/>
      <i/>
      <sz val="10.0"/>
      <color theme="1"/>
      <name val="Arial"/>
      <scheme val="minor"/>
    </font>
    <font>
      <b/>
      <i/>
      <color rgb="FF999999"/>
      <name val="Arial"/>
      <scheme val="minor"/>
    </font>
    <font>
      <u/>
      <color rgb="FF0000FF"/>
      <name val="Arial"/>
    </font>
    <font>
      <i/>
      <color rgb="FFF3F3F3"/>
      <name val="Arial"/>
      <scheme val="minor"/>
    </font>
    <font>
      <color rgb="FFF3F3F3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0" fontId="7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1" fillId="0" fontId="5" numFmtId="0" xfId="0" applyAlignment="1" applyBorder="1" applyFont="1">
      <alignment vertical="bottom"/>
    </xf>
    <xf borderId="0" fillId="0" fontId="9" numFmtId="0" xfId="0" applyAlignment="1" applyFont="1">
      <alignment horizontal="left" readingOrder="0"/>
    </xf>
    <xf borderId="2" fillId="0" fontId="10" numFmtId="0" xfId="0" applyAlignment="1" applyBorder="1" applyFont="1">
      <alignment readingOrder="0" vertical="bottom"/>
    </xf>
    <xf borderId="3" fillId="0" fontId="11" numFmtId="0" xfId="0" applyBorder="1" applyFont="1"/>
    <xf borderId="2" fillId="0" fontId="12" numFmtId="0" xfId="0" applyAlignment="1" applyBorder="1" applyFont="1">
      <alignment horizontal="right" vertical="bottom"/>
    </xf>
    <xf borderId="3" fillId="0" fontId="5" numFmtId="0" xfId="0" applyAlignment="1" applyBorder="1" applyFont="1">
      <alignment vertical="bottom"/>
    </xf>
    <xf borderId="4" fillId="2" fontId="13" numFmtId="0" xfId="0" applyBorder="1" applyFill="1" applyFont="1"/>
    <xf borderId="5" fillId="2" fontId="14" numFmtId="164" xfId="0" applyAlignment="1" applyBorder="1" applyFill="1" applyFont="1" applyNumberFormat="1">
      <alignment horizontal="center" readingOrder="0"/>
    </xf>
    <xf borderId="2" fillId="0" fontId="12" numFmtId="9" xfId="0" applyAlignment="1" applyBorder="1" applyFont="1" applyNumberFormat="1">
      <alignment horizontal="right" vertical="bottom"/>
    </xf>
    <xf borderId="0" fillId="0" fontId="3" numFmtId="0" xfId="0" applyAlignment="1" applyFont="1">
      <alignment horizontal="left" readingOrder="0"/>
    </xf>
    <xf borderId="2" fillId="0" fontId="15" numFmtId="0" xfId="0" applyAlignment="1" applyBorder="1" applyFont="1">
      <alignment horizontal="right" readingOrder="0"/>
    </xf>
    <xf borderId="3" fillId="0" fontId="16" numFmtId="9" xfId="0" applyAlignment="1" applyBorder="1" applyFont="1" applyNumberFormat="1">
      <alignment horizontal="right" vertical="bottom"/>
    </xf>
    <xf borderId="3" fillId="0" fontId="15" numFmtId="0" xfId="0" applyBorder="1" applyFont="1"/>
    <xf borderId="6" fillId="2" fontId="14" numFmtId="165" xfId="0" applyAlignment="1" applyBorder="1" applyFill="1" applyFont="1" applyNumberFormat="1">
      <alignment horizontal="center" readingOrder="0"/>
    </xf>
    <xf borderId="2" fillId="0" fontId="15" numFmtId="9" xfId="0" applyAlignment="1" applyBorder="1" applyFont="1" applyNumberFormat="1">
      <alignment horizontal="right" readingOrder="0"/>
    </xf>
    <xf borderId="7" fillId="3" fontId="17" numFmtId="0" xfId="0" applyAlignment="1" applyBorder="1" applyFill="1" applyFont="1">
      <alignment readingOrder="0"/>
    </xf>
    <xf borderId="0" fillId="3" fontId="3" numFmtId="3" xfId="0" applyAlignment="1" applyFill="1" applyFont="1" applyNumberFormat="1">
      <alignment horizontal="right"/>
    </xf>
    <xf borderId="3" fillId="0" fontId="18" numFmtId="9" xfId="0" applyBorder="1" applyFont="1" applyNumberFormat="1"/>
    <xf borderId="8" fillId="3" fontId="3" numFmtId="3" xfId="0" applyAlignment="1" applyBorder="1" applyFill="1" applyFont="1" applyNumberFormat="1">
      <alignment horizontal="right"/>
    </xf>
    <xf borderId="0" fillId="0" fontId="19" numFmtId="0" xfId="0" applyAlignment="1" applyFont="1">
      <alignment readingOrder="0" vertical="bottom"/>
    </xf>
    <xf borderId="9" fillId="4" fontId="3" numFmtId="0" xfId="0" applyBorder="1" applyFill="1" applyFont="1"/>
    <xf borderId="0" fillId="0" fontId="3" numFmtId="0" xfId="0" applyAlignment="1" applyFont="1">
      <alignment horizontal="right"/>
    </xf>
    <xf borderId="0" fillId="0" fontId="19" numFmtId="164" xfId="0" applyAlignment="1" applyFont="1" applyNumberFormat="1">
      <alignment horizontal="center" readingOrder="0" vertical="bottom"/>
    </xf>
    <xf borderId="0" fillId="0" fontId="20" numFmtId="0" xfId="0" applyAlignment="1" applyFont="1">
      <alignment readingOrder="0"/>
    </xf>
    <xf borderId="7" fillId="0" fontId="3" numFmtId="0" xfId="0" applyAlignment="1" applyBorder="1" applyFont="1">
      <alignment readingOrder="0"/>
    </xf>
    <xf borderId="0" fillId="0" fontId="17" numFmtId="164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right"/>
    </xf>
    <xf borderId="0" fillId="0" fontId="5" numFmtId="0" xfId="0" applyAlignment="1" applyFont="1">
      <alignment readingOrder="0" vertical="bottom"/>
    </xf>
    <xf borderId="7" fillId="0" fontId="5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7" fillId="0" fontId="21" numFmtId="0" xfId="0" applyAlignment="1" applyBorder="1" applyFont="1">
      <alignment readingOrder="0"/>
    </xf>
    <xf borderId="0" fillId="0" fontId="5" numFmtId="0" xfId="0" applyAlignment="1" applyFont="1">
      <alignment horizontal="right" vertical="bottom"/>
    </xf>
    <xf borderId="8" fillId="0" fontId="3" numFmtId="0" xfId="0" applyAlignment="1" applyBorder="1" applyFont="1">
      <alignment horizontal="right" readingOrder="0"/>
    </xf>
    <xf borderId="9" fillId="0" fontId="22" numFmtId="3" xfId="0" applyBorder="1" applyFont="1" applyNumberFormat="1"/>
    <xf borderId="7" fillId="0" fontId="3" numFmtId="166" xfId="0" applyBorder="1" applyFont="1" applyNumberFormat="1"/>
    <xf borderId="8" fillId="0" fontId="5" numFmtId="0" xfId="0" applyAlignment="1" applyBorder="1" applyFont="1">
      <alignment horizontal="right" vertical="bottom"/>
    </xf>
    <xf borderId="7" fillId="0" fontId="5" numFmtId="166" xfId="0" applyAlignment="1" applyBorder="1" applyFont="1" applyNumberFormat="1">
      <alignment vertical="bottom"/>
    </xf>
    <xf borderId="9" fillId="4" fontId="22" numFmtId="0" xfId="0" applyBorder="1" applyFill="1" applyFont="1"/>
    <xf borderId="7" fillId="0" fontId="23" numFmtId="0" xfId="0" applyAlignment="1" applyBorder="1" applyFont="1">
      <alignment vertical="bottom"/>
    </xf>
    <xf borderId="0" fillId="4" fontId="5" numFmtId="0" xfId="0" applyAlignment="1" applyFill="1" applyFont="1">
      <alignment vertical="bottom"/>
    </xf>
    <xf borderId="8" fillId="4" fontId="5" numFmtId="0" xfId="0" applyAlignment="1" applyBorder="1" applyFill="1" applyFont="1">
      <alignment vertical="bottom"/>
    </xf>
    <xf borderId="0" fillId="0" fontId="5" numFmtId="3" xfId="0" applyAlignment="1" applyFont="1" applyNumberFormat="1">
      <alignment horizontal="right" vertical="bottom"/>
    </xf>
    <xf borderId="7" fillId="0" fontId="24" numFmtId="0" xfId="0" applyAlignment="1" applyBorder="1" applyFont="1">
      <alignment readingOrder="0"/>
    </xf>
    <xf borderId="7" fillId="0" fontId="5" numFmtId="3" xfId="0" applyAlignment="1" applyBorder="1" applyFont="1" applyNumberFormat="1">
      <alignment vertical="bottom"/>
    </xf>
    <xf borderId="8" fillId="0" fontId="3" numFmtId="3" xfId="0" applyAlignment="1" applyBorder="1" applyFont="1" applyNumberFormat="1">
      <alignment horizontal="right"/>
    </xf>
    <xf borderId="10" fillId="0" fontId="3" numFmtId="0" xfId="0" applyAlignment="1" applyBorder="1" applyFont="1">
      <alignment readingOrder="0"/>
    </xf>
    <xf borderId="11" fillId="0" fontId="3" numFmtId="3" xfId="0" applyAlignment="1" applyBorder="1" applyFont="1" applyNumberFormat="1">
      <alignment horizontal="right"/>
    </xf>
    <xf borderId="12" fillId="0" fontId="3" numFmtId="3" xfId="0" applyAlignment="1" applyBorder="1" applyFont="1" applyNumberFormat="1">
      <alignment horizontal="right"/>
    </xf>
    <xf borderId="0" fillId="4" fontId="3" numFmtId="0" xfId="0" applyAlignment="1" applyFill="1" applyFont="1">
      <alignment horizontal="right"/>
    </xf>
    <xf borderId="0" fillId="0" fontId="5" numFmtId="4" xfId="0" applyAlignment="1" applyFont="1" applyNumberFormat="1">
      <alignment horizontal="right" vertical="bottom"/>
    </xf>
    <xf borderId="0" fillId="4" fontId="3" numFmtId="0" xfId="0" applyFill="1" applyFont="1"/>
    <xf borderId="8" fillId="0" fontId="5" numFmtId="4" xfId="0" applyAlignment="1" applyBorder="1" applyFont="1" applyNumberFormat="1">
      <alignment horizontal="right" vertical="bottom"/>
    </xf>
    <xf borderId="13" fillId="0" fontId="22" numFmtId="3" xfId="0" applyBorder="1" applyFont="1" applyNumberFormat="1"/>
    <xf borderId="8" fillId="4" fontId="3" numFmtId="0" xfId="0" applyBorder="1" applyFill="1" applyFont="1"/>
    <xf borderId="7" fillId="0" fontId="25" numFmtId="0" xfId="0" applyAlignment="1" applyBorder="1" applyFont="1">
      <alignment readingOrder="0"/>
    </xf>
    <xf borderId="0" fillId="0" fontId="5" numFmtId="167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readingOrder="0"/>
    </xf>
    <xf borderId="0" fillId="0" fontId="25" numFmtId="3" xfId="0" applyAlignment="1" applyFont="1" applyNumberFormat="1">
      <alignment horizontal="right"/>
    </xf>
    <xf borderId="7" fillId="0" fontId="3" numFmtId="3" xfId="0" applyBorder="1" applyFont="1" applyNumberFormat="1"/>
    <xf borderId="0" fillId="0" fontId="5" numFmtId="10" xfId="0" applyAlignment="1" applyFont="1" applyNumberFormat="1">
      <alignment horizontal="right" vertical="bottom"/>
    </xf>
    <xf borderId="8" fillId="0" fontId="25" numFmtId="3" xfId="0" applyAlignment="1" applyBorder="1" applyFont="1" applyNumberFormat="1">
      <alignment horizontal="right"/>
    </xf>
    <xf borderId="8" fillId="0" fontId="5" numFmtId="10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 vertical="bottom"/>
    </xf>
    <xf borderId="9" fillId="0" fontId="26" numFmtId="3" xfId="0" applyBorder="1" applyFont="1" applyNumberFormat="1"/>
    <xf borderId="0" fillId="0" fontId="3" numFmtId="167" xfId="0" applyAlignment="1" applyFont="1" applyNumberFormat="1">
      <alignment horizontal="right" readingOrder="0"/>
    </xf>
    <xf borderId="7" fillId="4" fontId="3" numFmtId="0" xfId="0" applyBorder="1" applyFill="1" applyFont="1"/>
    <xf borderId="0" fillId="0" fontId="3" numFmtId="165" xfId="0" applyAlignment="1" applyFont="1" applyNumberFormat="1">
      <alignment horizontal="right" readingOrder="0"/>
    </xf>
    <xf borderId="8" fillId="0" fontId="5" numFmtId="165" xfId="0" applyAlignment="1" applyBorder="1" applyFont="1" applyNumberFormat="1">
      <alignment horizontal="right" vertical="bottom"/>
    </xf>
    <xf borderId="7" fillId="4" fontId="3" numFmtId="0" xfId="0" applyAlignment="1" applyBorder="1" applyFill="1" applyFont="1">
      <alignment readingOrder="0"/>
    </xf>
    <xf borderId="7" fillId="0" fontId="27" numFmtId="0" xfId="0" applyAlignment="1" applyBorder="1" applyFont="1">
      <alignment readingOrder="0"/>
    </xf>
    <xf borderId="7" fillId="4" fontId="5" numFmtId="0" xfId="0" applyAlignment="1" applyBorder="1" applyFill="1" applyFont="1">
      <alignment vertical="bottom"/>
    </xf>
    <xf borderId="0" fillId="0" fontId="27" numFmtId="168" xfId="0" applyAlignment="1" applyFont="1" applyNumberFormat="1">
      <alignment horizontal="right" readingOrder="0"/>
    </xf>
    <xf borderId="0" fillId="4" fontId="3" numFmtId="169" xfId="0" applyFill="1" applyFont="1" applyNumberFormat="1"/>
    <xf borderId="0" fillId="0" fontId="5" numFmtId="165" xfId="0" applyAlignment="1" applyFont="1" applyNumberFormat="1">
      <alignment horizontal="right" readingOrder="0" vertical="bottom"/>
    </xf>
    <xf borderId="0" fillId="0" fontId="27" numFmtId="168" xfId="0" applyAlignment="1" applyFont="1" applyNumberFormat="1">
      <alignment horizontal="right"/>
    </xf>
    <xf borderId="8" fillId="0" fontId="3" numFmtId="167" xfId="0" applyAlignment="1" applyBorder="1" applyFont="1" applyNumberFormat="1">
      <alignment horizontal="right" readingOrder="0"/>
    </xf>
    <xf borderId="8" fillId="0" fontId="27" numFmtId="168" xfId="0" applyAlignment="1" applyBorder="1" applyFont="1" applyNumberFormat="1">
      <alignment horizontal="right"/>
    </xf>
    <xf borderId="9" fillId="0" fontId="22" numFmtId="0" xfId="0" applyBorder="1" applyFont="1"/>
    <xf borderId="7" fillId="0" fontId="3" numFmtId="0" xfId="0" applyBorder="1" applyFont="1"/>
    <xf borderId="0" fillId="0" fontId="3" numFmtId="10" xfId="0" applyAlignment="1" applyFont="1" applyNumberFormat="1">
      <alignment horizontal="right" readingOrder="0"/>
    </xf>
    <xf borderId="8" fillId="0" fontId="3" numFmtId="165" xfId="0" applyAlignment="1" applyBorder="1" applyFont="1" applyNumberFormat="1">
      <alignment horizontal="right" readingOrder="0"/>
    </xf>
    <xf borderId="7" fillId="4" fontId="5" numFmtId="0" xfId="0" applyAlignment="1" applyBorder="1" applyFill="1" applyFont="1">
      <alignment vertical="bottom"/>
    </xf>
    <xf borderId="0" fillId="0" fontId="3" numFmtId="3" xfId="0" applyFont="1" applyNumberFormat="1"/>
    <xf borderId="0" fillId="4" fontId="5" numFmtId="169" xfId="0" applyAlignment="1" applyFill="1" applyFont="1" applyNumberFormat="1">
      <alignment vertical="bottom"/>
    </xf>
    <xf borderId="8" fillId="0" fontId="5" numFmtId="167" xfId="0" applyAlignment="1" applyBorder="1" applyFont="1" applyNumberFormat="1">
      <alignment horizontal="right" vertical="bottom"/>
    </xf>
    <xf borderId="8" fillId="0" fontId="3" numFmtId="3" xfId="0" applyBorder="1" applyFont="1" applyNumberFormat="1"/>
    <xf borderId="0" fillId="0" fontId="3" numFmtId="3" xfId="0" applyAlignment="1" applyFont="1" applyNumberFormat="1">
      <alignment readingOrder="0"/>
    </xf>
    <xf borderId="7" fillId="0" fontId="28" numFmtId="0" xfId="0" applyAlignment="1" applyBorder="1" applyFont="1">
      <alignment readingOrder="0"/>
    </xf>
    <xf borderId="10" fillId="0" fontId="5" numFmtId="0" xfId="0" applyAlignment="1" applyBorder="1" applyFont="1">
      <alignment vertical="bottom"/>
    </xf>
    <xf borderId="11" fillId="0" fontId="5" numFmtId="167" xfId="0" applyAlignment="1" applyBorder="1" applyFont="1" applyNumberFormat="1">
      <alignment horizontal="right" vertical="bottom"/>
    </xf>
    <xf borderId="11" fillId="0" fontId="3" numFmtId="167" xfId="0" applyAlignment="1" applyBorder="1" applyFont="1" applyNumberFormat="1">
      <alignment horizontal="right" readingOrder="0"/>
    </xf>
    <xf borderId="12" fillId="0" fontId="5" numFmtId="167" xfId="0" applyAlignment="1" applyBorder="1" applyFont="1" applyNumberFormat="1">
      <alignment horizontal="right" vertical="bottom"/>
    </xf>
    <xf borderId="0" fillId="0" fontId="5" numFmtId="10" xfId="0" applyAlignment="1" applyFont="1" applyNumberFormat="1">
      <alignment vertical="bottom"/>
    </xf>
    <xf borderId="1" fillId="4" fontId="19" numFmtId="0" xfId="0" applyAlignment="1" applyBorder="1" applyFill="1" applyFont="1">
      <alignment vertical="bottom"/>
    </xf>
    <xf borderId="0" fillId="5" fontId="3" numFmtId="0" xfId="0" applyAlignment="1" applyFill="1" applyFont="1">
      <alignment readingOrder="0"/>
    </xf>
    <xf borderId="0" fillId="5" fontId="3" numFmtId="10" xfId="0" applyAlignment="1" applyFill="1" applyFont="1" applyNumberFormat="1">
      <alignment readingOrder="0"/>
    </xf>
    <xf borderId="0" fillId="4" fontId="19" numFmtId="0" xfId="0" applyAlignment="1" applyFill="1" applyFont="1">
      <alignment vertical="bottom"/>
    </xf>
    <xf borderId="8" fillId="0" fontId="3" numFmtId="3" xfId="0" applyAlignment="1" applyBorder="1" applyFont="1" applyNumberFormat="1">
      <alignment readingOrder="0"/>
    </xf>
    <xf borderId="1" fillId="4" fontId="19" numFmtId="0" xfId="0" applyAlignment="1" applyBorder="1" applyFill="1" applyFont="1">
      <alignment readingOrder="0" vertical="bottom"/>
    </xf>
    <xf borderId="1" fillId="4" fontId="29" numFmtId="0" xfId="0" applyAlignment="1" applyBorder="1" applyFill="1" applyFont="1">
      <alignment readingOrder="0" vertical="bottom"/>
    </xf>
    <xf borderId="0" fillId="3" fontId="3" numFmtId="3" xfId="0" applyFill="1" applyFont="1" applyNumberFormat="1"/>
    <xf borderId="1" fillId="4" fontId="5" numFmtId="9" xfId="0" applyAlignment="1" applyBorder="1" applyFill="1" applyFont="1" applyNumberFormat="1">
      <alignment readingOrder="0" vertical="bottom"/>
    </xf>
    <xf borderId="8" fillId="3" fontId="3" numFmtId="3" xfId="0" applyBorder="1" applyFill="1" applyFont="1" applyNumberFormat="1"/>
    <xf borderId="1" fillId="4" fontId="5" numFmtId="9" xfId="0" applyAlignment="1" applyBorder="1" applyFill="1" applyFont="1" applyNumberFormat="1">
      <alignment horizontal="right" readingOrder="0" vertical="bottom"/>
    </xf>
    <xf borderId="1" fillId="4" fontId="5" numFmtId="167" xfId="0" applyAlignment="1" applyBorder="1" applyFill="1" applyFont="1" applyNumberFormat="1">
      <alignment horizontal="right" readingOrder="0" vertical="bottom"/>
    </xf>
    <xf borderId="1" fillId="4" fontId="19" numFmtId="165" xfId="0" applyAlignment="1" applyBorder="1" applyFill="1" applyFont="1" applyNumberFormat="1">
      <alignment horizontal="right" vertical="bottom"/>
    </xf>
    <xf borderId="1" fillId="4" fontId="5" numFmtId="0" xfId="0" applyAlignment="1" applyBorder="1" applyFill="1" applyFont="1">
      <alignment horizontal="right" vertical="bottom"/>
    </xf>
    <xf borderId="1" fillId="4" fontId="30" numFmtId="166" xfId="0" applyAlignment="1" applyBorder="1" applyFill="1" applyFont="1" applyNumberFormat="1">
      <alignment horizontal="right" readingOrder="0" vertical="bottom"/>
    </xf>
    <xf borderId="1" fillId="4" fontId="19" numFmtId="167" xfId="0" applyAlignment="1" applyBorder="1" applyFill="1" applyFont="1" applyNumberFormat="1">
      <alignment horizontal="right" vertical="bottom"/>
    </xf>
    <xf borderId="0" fillId="4" fontId="3" numFmtId="3" xfId="0" applyFill="1" applyFont="1" applyNumberFormat="1"/>
    <xf borderId="8" fillId="4" fontId="3" numFmtId="3" xfId="0" applyBorder="1" applyFill="1" applyFont="1" applyNumberFormat="1"/>
    <xf borderId="0" fillId="0" fontId="31" numFmtId="0" xfId="0" applyFont="1"/>
    <xf borderId="1" fillId="4" fontId="5" numFmtId="9" xfId="0" applyAlignment="1" applyBorder="1" applyFill="1" applyFont="1" applyNumberFormat="1">
      <alignment vertical="bottom"/>
    </xf>
    <xf borderId="7" fillId="3" fontId="3" numFmtId="0" xfId="0" applyAlignment="1" applyBorder="1" applyFill="1" applyFont="1">
      <alignment readingOrder="0"/>
    </xf>
    <xf borderId="0" fillId="4" fontId="3" numFmtId="3" xfId="0" applyAlignment="1" applyFill="1" applyFont="1" applyNumberFormat="1">
      <alignment readingOrder="0"/>
    </xf>
    <xf borderId="1" fillId="4" fontId="5" numFmtId="0" xfId="0" applyAlignment="1" applyBorder="1" applyFill="1" applyFont="1">
      <alignment vertical="bottom"/>
    </xf>
    <xf borderId="1" fillId="4" fontId="5" numFmtId="167" xfId="0" applyAlignment="1" applyBorder="1" applyFill="1" applyFont="1" applyNumberFormat="1">
      <alignment vertical="bottom"/>
    </xf>
    <xf borderId="1" fillId="6" fontId="5" numFmtId="0" xfId="0" applyAlignment="1" applyBorder="1" applyFill="1" applyFont="1">
      <alignment vertical="bottom"/>
    </xf>
    <xf borderId="1" fillId="6" fontId="19" numFmtId="167" xfId="0" applyAlignment="1" applyBorder="1" applyFill="1" applyFont="1" applyNumberFormat="1">
      <alignment horizontal="right" vertical="bottom"/>
    </xf>
    <xf borderId="1" fillId="4" fontId="5" numFmtId="0" xfId="0" applyAlignment="1" applyBorder="1" applyFill="1" applyFont="1">
      <alignment readingOrder="0" vertical="bottom"/>
    </xf>
    <xf borderId="1" fillId="4" fontId="5" numFmtId="0" xfId="0" applyAlignment="1" applyBorder="1" applyFill="1" applyFont="1">
      <alignment horizontal="right" readingOrder="0" vertical="bottom"/>
    </xf>
    <xf borderId="1" fillId="4" fontId="5" numFmtId="166" xfId="0" applyAlignment="1" applyBorder="1" applyFill="1" applyFont="1" applyNumberFormat="1">
      <alignment vertical="bottom"/>
    </xf>
    <xf borderId="1" fillId="4" fontId="19" numFmtId="1" xfId="0" applyAlignment="1" applyBorder="1" applyFill="1" applyFont="1" applyNumberFormat="1">
      <alignment horizontal="right" vertical="bottom"/>
    </xf>
    <xf borderId="1" fillId="4" fontId="29" numFmtId="1" xfId="0" applyAlignment="1" applyBorder="1" applyFill="1" applyFont="1" applyNumberFormat="1">
      <alignment horizontal="right" vertical="bottom"/>
    </xf>
    <xf borderId="1" fillId="4" fontId="5" numFmtId="167" xfId="0" applyAlignment="1" applyBorder="1" applyFill="1" applyFont="1" applyNumberFormat="1">
      <alignment horizontal="right" vertical="bottom"/>
    </xf>
    <xf borderId="0" fillId="0" fontId="3" numFmtId="166" xfId="0" applyFont="1" applyNumberFormat="1"/>
    <xf borderId="0" fillId="0" fontId="5" numFmtId="167" xfId="0" applyAlignment="1" applyFont="1" applyNumberFormat="1">
      <alignment vertical="bottom"/>
    </xf>
    <xf borderId="1" fillId="4" fontId="17" numFmtId="0" xfId="0" applyAlignment="1" applyBorder="1" applyFill="1" applyFont="1">
      <alignment readingOrder="0"/>
    </xf>
    <xf borderId="0" fillId="4" fontId="30" numFmtId="0" xfId="0" applyAlignment="1" applyFill="1" applyFont="1">
      <alignment vertical="bottom"/>
    </xf>
    <xf borderId="1" fillId="3" fontId="19" numFmtId="0" xfId="0" applyAlignment="1" applyBorder="1" applyFill="1" applyFont="1">
      <alignment vertical="bottom"/>
    </xf>
    <xf borderId="11" fillId="0" fontId="3" numFmtId="3" xfId="0" applyBorder="1" applyFont="1" applyNumberFormat="1"/>
    <xf borderId="1" fillId="4" fontId="32" numFmtId="0" xfId="0" applyAlignment="1" applyBorder="1" applyFill="1" applyFont="1">
      <alignment readingOrder="0"/>
    </xf>
    <xf borderId="1" fillId="3" fontId="19" numFmtId="167" xfId="0" applyAlignment="1" applyBorder="1" applyFill="1" applyFont="1" applyNumberFormat="1">
      <alignment vertical="bottom"/>
    </xf>
    <xf borderId="12" fillId="0" fontId="3" numFmtId="3" xfId="0" applyBorder="1" applyFont="1" applyNumberFormat="1"/>
    <xf borderId="0" fillId="0" fontId="33" numFmtId="0" xfId="0" applyAlignment="1" applyFont="1">
      <alignment readingOrder="0"/>
    </xf>
    <xf borderId="14" fillId="0" fontId="33" numFmtId="3" xfId="0" applyBorder="1" applyFont="1" applyNumberFormat="1"/>
    <xf borderId="1" fillId="4" fontId="3" numFmtId="0" xfId="0" applyAlignment="1" applyBorder="1" applyFill="1" applyFont="1">
      <alignment readingOrder="0"/>
    </xf>
    <xf borderId="14" fillId="0" fontId="34" numFmtId="3" xfId="0" applyBorder="1" applyFont="1" applyNumberFormat="1"/>
    <xf borderId="1" fillId="3" fontId="5" numFmtId="9" xfId="0" applyAlignment="1" applyBorder="1" applyFill="1" applyFont="1" applyNumberFormat="1">
      <alignment horizontal="right" readingOrder="0" vertical="bottom"/>
    </xf>
    <xf borderId="0" fillId="0" fontId="27" numFmtId="0" xfId="0" applyAlignment="1" applyFont="1">
      <alignment readingOrder="0"/>
    </xf>
    <xf borderId="1" fillId="4" fontId="3" numFmtId="166" xfId="0" applyBorder="1" applyFill="1" applyFont="1" applyNumberFormat="1"/>
    <xf borderId="0" fillId="0" fontId="27" numFmtId="168" xfId="0" applyFont="1" applyNumberFormat="1"/>
    <xf borderId="1" fillId="3" fontId="5" numFmtId="167" xfId="0" applyAlignment="1" applyBorder="1" applyFill="1" applyFont="1" applyNumberFormat="1">
      <alignment horizontal="right" readingOrder="0" vertical="bottom"/>
    </xf>
    <xf borderId="1" fillId="4" fontId="3" numFmtId="0" xfId="0" applyAlignment="1" applyBorder="1" applyFill="1" applyFont="1">
      <alignment horizontal="right" readingOrder="0"/>
    </xf>
    <xf borderId="1" fillId="3" fontId="19" numFmtId="165" xfId="0" applyAlignment="1" applyBorder="1" applyFill="1" applyFont="1" applyNumberFormat="1">
      <alignment horizontal="right" vertical="bottom"/>
    </xf>
    <xf borderId="1" fillId="3" fontId="5" numFmtId="0" xfId="0" applyAlignment="1" applyBorder="1" applyFill="1" applyFont="1">
      <alignment horizontal="right" vertical="bottom"/>
    </xf>
    <xf borderId="1" fillId="4" fontId="3" numFmtId="166" xfId="0" applyAlignment="1" applyBorder="1" applyFill="1" applyFont="1" applyNumberFormat="1">
      <alignment readingOrder="0"/>
    </xf>
    <xf borderId="1" fillId="0" fontId="5" numFmtId="9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5" numFmtId="167" xfId="0" applyAlignment="1" applyBorder="1" applyFont="1" applyNumberFormat="1">
      <alignment vertical="bottom"/>
    </xf>
    <xf borderId="1" fillId="4" fontId="3" numFmtId="170" xfId="0" applyAlignment="1" applyBorder="1" applyFill="1" applyFont="1" applyNumberFormat="1">
      <alignment readingOrder="0"/>
    </xf>
    <xf borderId="1" fillId="0" fontId="19" numFmtId="0" xfId="0" applyAlignment="1" applyBorder="1" applyFont="1">
      <alignment horizontal="right" readingOrder="0" vertical="bottom"/>
    </xf>
    <xf borderId="1" fillId="0" fontId="5" numFmtId="166" xfId="0" applyAlignment="1" applyBorder="1" applyFont="1" applyNumberFormat="1">
      <alignment horizontal="right" vertical="bottom"/>
    </xf>
    <xf borderId="1" fillId="0" fontId="5" numFmtId="167" xfId="0" applyAlignment="1" applyBorder="1" applyFont="1" applyNumberFormat="1">
      <alignment horizontal="right" vertical="bottom"/>
    </xf>
    <xf borderId="1" fillId="4" fontId="3" numFmtId="0" xfId="0" applyAlignment="1" applyBorder="1" applyFill="1" applyFont="1">
      <alignment horizontal="right"/>
    </xf>
    <xf borderId="1" fillId="6" fontId="5" numFmtId="0" xfId="0" applyAlignment="1" applyBorder="1" applyFill="1" applyFont="1">
      <alignment vertical="bottom"/>
    </xf>
    <xf borderId="1" fillId="6" fontId="19" numFmtId="165" xfId="0" applyAlignment="1" applyBorder="1" applyFill="1" applyFont="1" applyNumberFormat="1">
      <alignment horizontal="right" vertical="bottom"/>
    </xf>
    <xf borderId="1" fillId="4" fontId="3" numFmtId="0" xfId="0" applyBorder="1" applyFill="1" applyFont="1"/>
    <xf borderId="1" fillId="7" fontId="35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vertical="bottom"/>
    </xf>
    <xf borderId="1" fillId="4" fontId="17" numFmtId="166" xfId="0" applyBorder="1" applyFill="1" applyFont="1" applyNumberFormat="1"/>
    <xf borderId="0" fillId="0" fontId="3" numFmtId="1" xfId="0" applyFont="1" applyNumberFormat="1"/>
    <xf borderId="1" fillId="7" fontId="5" numFmtId="165" xfId="0" applyAlignment="1" applyBorder="1" applyFill="1" applyFont="1" applyNumberFormat="1">
      <alignment horizontal="right" vertical="bottom"/>
    </xf>
    <xf borderId="0" fillId="0" fontId="5" numFmtId="166" xfId="0" applyAlignment="1" applyFont="1" applyNumberFormat="1">
      <alignment vertical="bottom"/>
    </xf>
    <xf borderId="0" fillId="5" fontId="5" numFmtId="0" xfId="0" applyAlignment="1" applyFill="1" applyFont="1">
      <alignment vertical="bottom"/>
    </xf>
    <xf borderId="0" fillId="5" fontId="5" numFmtId="10" xfId="0" applyAlignment="1" applyFill="1" applyFont="1" applyNumberFormat="1">
      <alignment horizontal="right" readingOrder="0" vertical="bottom"/>
    </xf>
    <xf borderId="0" fillId="0" fontId="5" numFmtId="170" xfId="0" applyAlignment="1" applyFont="1" applyNumberFormat="1">
      <alignment vertical="bottom"/>
    </xf>
    <xf borderId="0" fillId="8" fontId="36" numFmtId="0" xfId="0" applyAlignment="1" applyFill="1" applyFont="1">
      <alignment readingOrder="0"/>
    </xf>
    <xf borderId="0" fillId="8" fontId="37" numFmtId="164" xfId="0" applyAlignment="1" applyFill="1" applyFont="1" applyNumberFormat="1">
      <alignment horizontal="center"/>
    </xf>
    <xf borderId="0" fillId="0" fontId="31" numFmtId="0" xfId="0" applyAlignment="1" applyFont="1">
      <alignment readingOrder="0"/>
    </xf>
    <xf borderId="0" fillId="0" fontId="31" numFmtId="3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Omsætning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Budget2025!$B$4:$M$4</c:f>
            </c:strRef>
          </c:cat>
          <c:val>
            <c:numRef>
              <c:f>Budget2025!$B$6:$M$6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Budget2025!$B$4:$M$4</c:f>
            </c:strRef>
          </c:cat>
          <c:val>
            <c:numRef>
              <c:f>Budget2025!$B$7:$M$7</c:f>
              <c:numCache/>
            </c:numRef>
          </c:val>
        </c:ser>
        <c:overlap val="100"/>
        <c:axId val="1693114622"/>
        <c:axId val="1966370408"/>
      </c:barChart>
      <c:catAx>
        <c:axId val="1693114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370408"/>
      </c:catAx>
      <c:valAx>
        <c:axId val="1966370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114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Kundefordeling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'Opsætning2025'!$A$10</c:f>
            </c:strRef>
          </c:tx>
          <c:cat>
            <c:strRef>
              <c:f>'Opsætning2025'!$B$10:$M$10</c:f>
            </c:strRef>
          </c:cat>
          <c:val>
            <c:numRef>
              <c:f>'Opsætning2025'!$B$10:$M$10</c:f>
              <c:numCache/>
            </c:numRef>
          </c:val>
        </c:ser>
        <c:overlap val="100"/>
        <c:axId val="1006268673"/>
        <c:axId val="1330741374"/>
      </c:barChart>
      <c:catAx>
        <c:axId val="1006268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741374"/>
      </c:catAx>
      <c:valAx>
        <c:axId val="133074137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06268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15</xdr:row>
      <xdr:rowOff>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15</xdr:row>
      <xdr:rowOff>0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opix.dk/" TargetMode="External"/><Relationship Id="rId2" Type="http://schemas.openxmlformats.org/officeDocument/2006/relationships/hyperlink" Target="http://circle.so/" TargetMode="External"/><Relationship Id="rId3" Type="http://schemas.openxmlformats.org/officeDocument/2006/relationships/hyperlink" Target="http://youngstar.dk/" TargetMode="External"/><Relationship Id="rId4" Type="http://schemas.openxmlformats.org/officeDocument/2006/relationships/hyperlink" Target="http://topix.dk/" TargetMode="External"/><Relationship Id="rId5" Type="http://schemas.openxmlformats.org/officeDocument/2006/relationships/hyperlink" Target="http://cirlce.so/" TargetMode="External"/><Relationship Id="rId6" Type="http://schemas.openxmlformats.org/officeDocument/2006/relationships/hyperlink" Target="http://circle.so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opix.dk/" TargetMode="External"/><Relationship Id="rId2" Type="http://schemas.openxmlformats.org/officeDocument/2006/relationships/hyperlink" Target="http://circle.so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36.88"/>
    <col customWidth="1" min="2" max="2" width="12.75"/>
    <col customWidth="1" min="3" max="3" width="13.5"/>
    <col customWidth="1" min="9" max="9" width="13.13"/>
    <col customWidth="1" min="10" max="10" width="16.13"/>
    <col customWidth="1" min="11" max="11" width="13.88"/>
    <col customWidth="1" min="12" max="13" width="15.5"/>
    <col customWidth="1" min="14" max="14" width="12.88"/>
  </cols>
  <sheetData>
    <row r="1">
      <c r="A1" s="1" t="s">
        <v>0</v>
      </c>
    </row>
    <row r="3">
      <c r="A3" s="2" t="s">
        <v>1</v>
      </c>
      <c r="B3" s="3"/>
    </row>
    <row r="4">
      <c r="A4" s="4" t="s">
        <v>2</v>
      </c>
      <c r="B4" s="9" t="s">
        <v>3</v>
      </c>
      <c r="C4" s="14"/>
      <c r="D4" s="20"/>
    </row>
    <row r="5">
      <c r="A5" s="4" t="s">
        <v>5</v>
      </c>
      <c r="B5" s="21" t="s">
        <v>6</v>
      </c>
      <c r="C5" s="23"/>
    </row>
    <row r="6">
      <c r="A6" s="4" t="s">
        <v>7</v>
      </c>
      <c r="B6" s="21">
        <v>2025.0</v>
      </c>
      <c r="C6" s="23"/>
    </row>
    <row r="7">
      <c r="A7" s="4" t="s">
        <v>8</v>
      </c>
      <c r="B7" s="25">
        <v>0.25</v>
      </c>
      <c r="C7" s="28">
        <f>B7+1</f>
        <v>1.25</v>
      </c>
    </row>
    <row r="8">
      <c r="A8" s="4" t="s">
        <v>9</v>
      </c>
      <c r="B8" s="25">
        <v>0.16</v>
      </c>
      <c r="C8" s="23"/>
    </row>
    <row r="9">
      <c r="B9" s="32"/>
    </row>
    <row r="10">
      <c r="A10" s="34" t="s">
        <v>12</v>
      </c>
      <c r="B10" s="36" t="s">
        <v>18</v>
      </c>
      <c r="C10" s="36" t="s">
        <v>29</v>
      </c>
      <c r="D10" s="36" t="s">
        <v>30</v>
      </c>
      <c r="E10" s="36" t="s">
        <v>31</v>
      </c>
      <c r="F10" s="36" t="s">
        <v>32</v>
      </c>
      <c r="G10" s="36" t="s">
        <v>33</v>
      </c>
      <c r="H10" s="36" t="s">
        <v>34</v>
      </c>
      <c r="I10" s="36" t="s">
        <v>35</v>
      </c>
      <c r="J10" s="36" t="s">
        <v>36</v>
      </c>
      <c r="K10" s="36" t="s">
        <v>37</v>
      </c>
      <c r="L10" s="36" t="s">
        <v>38</v>
      </c>
      <c r="M10" s="36" t="s">
        <v>39</v>
      </c>
      <c r="N10" s="40" t="s">
        <v>41</v>
      </c>
    </row>
    <row r="11">
      <c r="A11" s="41" t="s">
        <v>40</v>
      </c>
      <c r="B11" s="3">
        <f t="shared" ref="B11:M11" si="1">DAY(EOMONTH(B$10,0))</f>
        <v>31</v>
      </c>
      <c r="C11" s="3">
        <f t="shared" si="1"/>
        <v>28</v>
      </c>
      <c r="D11" s="3">
        <f t="shared" si="1"/>
        <v>31</v>
      </c>
      <c r="E11" s="3">
        <f t="shared" si="1"/>
        <v>30</v>
      </c>
      <c r="F11" s="3">
        <f t="shared" si="1"/>
        <v>31</v>
      </c>
      <c r="G11" s="3">
        <f t="shared" si="1"/>
        <v>30</v>
      </c>
      <c r="H11" s="3">
        <f t="shared" si="1"/>
        <v>31</v>
      </c>
      <c r="I11" s="3">
        <f t="shared" si="1"/>
        <v>31</v>
      </c>
      <c r="J11" s="3">
        <f t="shared" si="1"/>
        <v>30</v>
      </c>
      <c r="K11" s="3">
        <f t="shared" si="1"/>
        <v>31</v>
      </c>
      <c r="L11" s="3">
        <f t="shared" si="1"/>
        <v>30</v>
      </c>
      <c r="M11" s="43">
        <f t="shared" si="1"/>
        <v>31</v>
      </c>
      <c r="N11" s="45"/>
    </row>
    <row r="12">
      <c r="A12" s="53" t="s">
        <v>11</v>
      </c>
      <c r="B12" s="59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4"/>
      <c r="N12" s="45"/>
    </row>
    <row r="13">
      <c r="A13" s="35" t="s">
        <v>53</v>
      </c>
      <c r="B13" s="67">
        <v>0.0</v>
      </c>
      <c r="C13" s="67">
        <f>$B$50/10*0</f>
        <v>0</v>
      </c>
      <c r="D13" s="67">
        <f>$B$50/10*0.5</f>
        <v>2</v>
      </c>
      <c r="E13" s="67">
        <f>$B$50/10</f>
        <v>4</v>
      </c>
      <c r="F13" s="67">
        <v>4.0</v>
      </c>
      <c r="G13" s="67">
        <v>4.0</v>
      </c>
      <c r="H13" s="67">
        <v>4.0</v>
      </c>
      <c r="I13" s="67">
        <v>20.0</v>
      </c>
      <c r="J13" s="67">
        <v>20.0</v>
      </c>
      <c r="K13" s="67">
        <v>20.0</v>
      </c>
      <c r="L13" s="67">
        <v>20.0</v>
      </c>
      <c r="M13" s="67">
        <v>20.0</v>
      </c>
      <c r="N13" s="69">
        <f t="shared" ref="N13:N14" si="2">SUM(B13:M13)</f>
        <v>118</v>
      </c>
    </row>
    <row r="14">
      <c r="A14" s="35" t="s">
        <v>55</v>
      </c>
      <c r="B14" s="67"/>
      <c r="C14" s="67"/>
      <c r="D14" s="67"/>
      <c r="E14" s="67">
        <v>8.0</v>
      </c>
      <c r="F14" s="67">
        <v>7.0</v>
      </c>
      <c r="G14" s="67">
        <v>2.0</v>
      </c>
      <c r="H14" s="67">
        <v>0.0</v>
      </c>
      <c r="I14" s="67">
        <v>6.0</v>
      </c>
      <c r="J14" s="67">
        <v>6.0</v>
      </c>
      <c r="K14" s="67">
        <v>5.0</v>
      </c>
      <c r="L14" s="67">
        <v>3.0</v>
      </c>
      <c r="M14" s="67">
        <v>3.0</v>
      </c>
      <c r="N14" s="69">
        <f t="shared" si="2"/>
        <v>40</v>
      </c>
    </row>
    <row r="15">
      <c r="A15" s="35" t="s">
        <v>56</v>
      </c>
      <c r="B15" s="73">
        <v>5000.0</v>
      </c>
      <c r="C15" s="73">
        <v>5000.0</v>
      </c>
      <c r="D15" s="73">
        <v>5000.0</v>
      </c>
      <c r="E15" s="73">
        <v>5000.0</v>
      </c>
      <c r="F15" s="73">
        <v>5000.0</v>
      </c>
      <c r="G15" s="73">
        <v>5000.0</v>
      </c>
      <c r="H15" s="73">
        <v>5000.0</v>
      </c>
      <c r="I15" s="73">
        <v>5000.0</v>
      </c>
      <c r="J15" s="73">
        <v>5000.0</v>
      </c>
      <c r="K15" s="73">
        <v>5000.0</v>
      </c>
      <c r="L15" s="73">
        <v>5000.0</v>
      </c>
      <c r="M15" s="73">
        <v>5000.0</v>
      </c>
      <c r="N15" s="45"/>
    </row>
    <row r="16">
      <c r="A16" s="35" t="s">
        <v>58</v>
      </c>
      <c r="B16" s="76">
        <f t="shared" ref="B16:D16" si="3">SUM($C$52)</f>
        <v>0</v>
      </c>
      <c r="C16" s="76">
        <f t="shared" si="3"/>
        <v>0</v>
      </c>
      <c r="D16" s="76">
        <f t="shared" si="3"/>
        <v>0</v>
      </c>
      <c r="E16" s="76">
        <v>30000.0</v>
      </c>
      <c r="F16" s="76">
        <v>40000.0</v>
      </c>
      <c r="G16" s="76">
        <v>40000.0</v>
      </c>
      <c r="H16" s="76">
        <v>40000.0</v>
      </c>
      <c r="I16" s="76">
        <v>40000.0</v>
      </c>
      <c r="J16" s="76">
        <v>40000.0</v>
      </c>
      <c r="K16" s="76">
        <v>40000.0</v>
      </c>
      <c r="L16" s="76">
        <v>40000.0</v>
      </c>
      <c r="M16" s="76">
        <v>40000.0</v>
      </c>
      <c r="N16" s="45"/>
    </row>
    <row r="17">
      <c r="A17" s="77"/>
      <c r="B17" s="59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4"/>
      <c r="N17" s="45"/>
    </row>
    <row r="18">
      <c r="A18" s="53" t="s">
        <v>60</v>
      </c>
      <c r="B18" s="59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4"/>
      <c r="N18" s="45"/>
    </row>
    <row r="19">
      <c r="A19" s="35" t="s">
        <v>61</v>
      </c>
      <c r="B19" s="78">
        <v>0.0</v>
      </c>
      <c r="C19" s="78">
        <v>15000.0</v>
      </c>
      <c r="D19" s="78">
        <v>2313.0</v>
      </c>
      <c r="E19" s="78">
        <v>0.0</v>
      </c>
      <c r="F19" s="78">
        <v>15000.0</v>
      </c>
      <c r="G19" s="78">
        <v>10000.0</v>
      </c>
      <c r="H19" s="78">
        <v>10000.0</v>
      </c>
      <c r="I19" s="78">
        <v>15000.0</v>
      </c>
      <c r="J19" s="78">
        <v>15000.0</v>
      </c>
      <c r="K19" s="78">
        <v>15000.0</v>
      </c>
      <c r="L19" s="78">
        <v>15000.0</v>
      </c>
      <c r="M19" s="78">
        <v>15000.0</v>
      </c>
      <c r="N19" s="45">
        <f t="shared" ref="N19:N20" si="4">SUM(B19:M19)</f>
        <v>127313</v>
      </c>
    </row>
    <row r="20">
      <c r="A20" s="35" t="s">
        <v>62</v>
      </c>
      <c r="B20" s="78">
        <v>0.0</v>
      </c>
      <c r="C20" s="78">
        <v>6000.0</v>
      </c>
      <c r="D20" s="78"/>
      <c r="E20" s="78">
        <v>0.0</v>
      </c>
      <c r="F20" s="78"/>
      <c r="G20" s="78">
        <v>0.0</v>
      </c>
      <c r="H20" s="78">
        <v>0.0</v>
      </c>
      <c r="I20" s="78">
        <v>0.0</v>
      </c>
      <c r="J20" s="78">
        <v>6000.0</v>
      </c>
      <c r="K20" s="78">
        <v>6000.0</v>
      </c>
      <c r="L20" s="78">
        <v>6000.0</v>
      </c>
      <c r="M20" s="78">
        <v>6000.0</v>
      </c>
      <c r="N20" s="45">
        <f t="shared" si="4"/>
        <v>30000</v>
      </c>
    </row>
    <row r="21">
      <c r="A21" s="80"/>
      <c r="B21" s="59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4"/>
      <c r="N21" s="45"/>
    </row>
    <row r="22">
      <c r="A22" s="53" t="s">
        <v>64</v>
      </c>
      <c r="B22" s="59"/>
      <c r="C22" s="61"/>
      <c r="D22" s="61"/>
      <c r="E22" s="84"/>
      <c r="F22" s="61"/>
      <c r="G22" s="61"/>
      <c r="H22" s="61"/>
      <c r="I22" s="61"/>
      <c r="J22" s="61"/>
      <c r="K22" s="61"/>
      <c r="L22" s="61"/>
      <c r="M22" s="64"/>
      <c r="N22" s="45"/>
    </row>
    <row r="23">
      <c r="A23" s="35" t="s">
        <v>65</v>
      </c>
      <c r="B23" s="76">
        <v>0.0</v>
      </c>
      <c r="C23" s="76">
        <v>0.0</v>
      </c>
      <c r="D23" s="76">
        <v>0.0</v>
      </c>
      <c r="E23" s="76">
        <v>0.0</v>
      </c>
      <c r="F23" s="76">
        <v>0.0</v>
      </c>
      <c r="G23" s="76">
        <v>0.0</v>
      </c>
      <c r="H23" s="76">
        <v>0.0</v>
      </c>
      <c r="I23" s="76">
        <v>0.0</v>
      </c>
      <c r="J23" s="76">
        <v>0.0</v>
      </c>
      <c r="K23" s="76">
        <v>0.0</v>
      </c>
      <c r="L23" s="76">
        <v>0.0</v>
      </c>
      <c r="M23" s="87">
        <v>0.0</v>
      </c>
      <c r="N23" s="45"/>
    </row>
    <row r="24">
      <c r="A24" s="35" t="s">
        <v>67</v>
      </c>
      <c r="B24" s="76">
        <v>0.0</v>
      </c>
      <c r="C24" s="76">
        <v>0.0</v>
      </c>
      <c r="D24" s="76">
        <v>0.0</v>
      </c>
      <c r="E24" s="76">
        <v>0.0</v>
      </c>
      <c r="F24" s="76">
        <v>0.0</v>
      </c>
      <c r="G24" s="76">
        <v>0.0</v>
      </c>
      <c r="H24" s="76">
        <v>0.0</v>
      </c>
      <c r="I24" s="76">
        <v>0.0</v>
      </c>
      <c r="J24" s="76">
        <v>0.0</v>
      </c>
      <c r="K24" s="76">
        <v>0.0</v>
      </c>
      <c r="L24" s="76">
        <v>0.0</v>
      </c>
      <c r="M24" s="87">
        <v>0.0</v>
      </c>
      <c r="N24" s="45"/>
    </row>
    <row r="25">
      <c r="A25" s="35" t="s">
        <v>68</v>
      </c>
      <c r="B25" s="76">
        <v>0.0</v>
      </c>
      <c r="C25" s="76">
        <v>0.0</v>
      </c>
      <c r="D25" s="76">
        <v>0.0</v>
      </c>
      <c r="E25" s="76">
        <v>0.0</v>
      </c>
      <c r="F25" s="76">
        <v>0.0</v>
      </c>
      <c r="G25" s="76">
        <v>0.0</v>
      </c>
      <c r="H25" s="76">
        <v>0.0</v>
      </c>
      <c r="I25" s="76">
        <v>0.0</v>
      </c>
      <c r="J25" s="76">
        <v>0.0</v>
      </c>
      <c r="K25" s="76">
        <v>0.0</v>
      </c>
      <c r="L25" s="76">
        <v>0.0</v>
      </c>
      <c r="M25" s="87">
        <v>0.0</v>
      </c>
      <c r="N25" s="45"/>
    </row>
    <row r="26">
      <c r="A26" s="35" t="s">
        <v>70</v>
      </c>
      <c r="B26" s="91">
        <v>0.0</v>
      </c>
      <c r="C26" s="91">
        <v>0.0</v>
      </c>
      <c r="D26" s="91">
        <v>0.0</v>
      </c>
      <c r="E26" s="91">
        <v>0.0</v>
      </c>
      <c r="F26" s="91">
        <v>0.0</v>
      </c>
      <c r="G26" s="91">
        <v>0.0</v>
      </c>
      <c r="H26" s="91">
        <v>0.0</v>
      </c>
      <c r="I26" s="91">
        <v>0.0</v>
      </c>
      <c r="J26" s="91">
        <v>0.0</v>
      </c>
      <c r="K26" s="91">
        <v>0.0</v>
      </c>
      <c r="L26" s="91">
        <v>0.0</v>
      </c>
      <c r="M26" s="91">
        <v>0.0</v>
      </c>
      <c r="N26" s="45"/>
    </row>
    <row r="27">
      <c r="A27" s="35" t="s">
        <v>72</v>
      </c>
      <c r="B27" s="78">
        <v>0.0</v>
      </c>
      <c r="C27" s="78">
        <v>0.0</v>
      </c>
      <c r="D27" s="78">
        <v>0.0</v>
      </c>
      <c r="E27" s="78">
        <v>0.0</v>
      </c>
      <c r="F27" s="78">
        <v>0.0</v>
      </c>
      <c r="G27" s="78">
        <v>0.0</v>
      </c>
      <c r="H27" s="78">
        <v>0.0</v>
      </c>
      <c r="I27" s="78">
        <v>0.0</v>
      </c>
      <c r="J27" s="78">
        <v>0.0</v>
      </c>
      <c r="K27" s="78">
        <v>0.0</v>
      </c>
      <c r="L27" s="78">
        <v>0.0</v>
      </c>
      <c r="M27" s="92">
        <v>0.0</v>
      </c>
      <c r="N27" s="45"/>
    </row>
    <row r="28">
      <c r="A28" s="77"/>
      <c r="B28" s="59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4"/>
      <c r="N28" s="45"/>
    </row>
    <row r="29">
      <c r="A29" s="53" t="s">
        <v>75</v>
      </c>
      <c r="B29" s="59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4"/>
      <c r="N29" s="45"/>
    </row>
    <row r="30">
      <c r="A30" s="35" t="s">
        <v>76</v>
      </c>
      <c r="B30" s="78">
        <v>0.0</v>
      </c>
      <c r="C30" s="78">
        <v>0.0</v>
      </c>
      <c r="D30" s="78">
        <v>0.0</v>
      </c>
      <c r="E30" s="78">
        <v>0.0</v>
      </c>
      <c r="F30" s="78">
        <v>0.0</v>
      </c>
      <c r="G30" s="78">
        <v>0.0</v>
      </c>
      <c r="H30" s="78">
        <v>0.0</v>
      </c>
      <c r="I30" s="78">
        <v>0.0</v>
      </c>
      <c r="J30" s="78">
        <v>0.0</v>
      </c>
      <c r="K30" s="78">
        <v>0.0</v>
      </c>
      <c r="L30" s="78">
        <v>0.0</v>
      </c>
      <c r="M30" s="92">
        <v>0.0</v>
      </c>
      <c r="N30" s="45"/>
    </row>
    <row r="31">
      <c r="A31" s="35" t="s">
        <v>77</v>
      </c>
      <c r="B31" s="91">
        <f>B34</f>
        <v>0.035</v>
      </c>
      <c r="C31" s="91">
        <f>B34</f>
        <v>0.035</v>
      </c>
      <c r="D31" s="91">
        <f>B34</f>
        <v>0.035</v>
      </c>
      <c r="E31" s="91">
        <f>B34</f>
        <v>0.035</v>
      </c>
      <c r="F31" s="91">
        <f>B34</f>
        <v>0.035</v>
      </c>
      <c r="G31" s="91">
        <f>B34</f>
        <v>0.035</v>
      </c>
      <c r="H31" s="91">
        <f>B34</f>
        <v>0.035</v>
      </c>
      <c r="I31" s="91">
        <f>B34</f>
        <v>0.035</v>
      </c>
      <c r="J31" s="91">
        <f>B34</f>
        <v>0.035</v>
      </c>
      <c r="K31" s="91">
        <f>B34</f>
        <v>0.035</v>
      </c>
      <c r="L31" s="91">
        <f>B34</f>
        <v>0.035</v>
      </c>
      <c r="M31" s="91">
        <f>B34</f>
        <v>0.035</v>
      </c>
      <c r="N31" s="45"/>
    </row>
    <row r="32">
      <c r="A32" s="56" t="str">
        <f>"Transaktionsgebyr ("&amp;B5&amp;")"</f>
        <v>Transaktionsgebyr (DKK)</v>
      </c>
      <c r="B32" s="102">
        <v>1.8</v>
      </c>
      <c r="C32" s="102">
        <v>1.8</v>
      </c>
      <c r="D32" s="102">
        <v>1.8</v>
      </c>
      <c r="E32" s="102">
        <v>1.8</v>
      </c>
      <c r="F32" s="102">
        <v>1.8</v>
      </c>
      <c r="G32" s="102">
        <v>1.8</v>
      </c>
      <c r="H32" s="102">
        <v>1.8</v>
      </c>
      <c r="I32" s="102">
        <v>1.8</v>
      </c>
      <c r="J32" s="102">
        <v>1.8</v>
      </c>
      <c r="K32" s="102">
        <v>1.8</v>
      </c>
      <c r="L32" s="102">
        <v>1.8</v>
      </c>
      <c r="M32" s="102">
        <v>1.8</v>
      </c>
      <c r="N32" s="45"/>
    </row>
    <row r="33">
      <c r="B33" s="32"/>
      <c r="N33" s="45"/>
    </row>
    <row r="34">
      <c r="A34" s="106" t="s">
        <v>83</v>
      </c>
      <c r="B34" s="107">
        <v>0.035</v>
      </c>
      <c r="N34" s="45"/>
    </row>
    <row r="35">
      <c r="B35" s="32"/>
    </row>
    <row r="36">
      <c r="A36" s="108"/>
      <c r="B36" s="108"/>
      <c r="C36" s="108"/>
      <c r="D36" s="108"/>
    </row>
    <row r="37">
      <c r="A37" s="110" t="s">
        <v>53</v>
      </c>
      <c r="B37" s="105" t="s">
        <v>82</v>
      </c>
      <c r="C37" s="105" t="s">
        <v>84</v>
      </c>
      <c r="D37" s="105" t="s">
        <v>85</v>
      </c>
      <c r="E37" s="111" t="s">
        <v>86</v>
      </c>
    </row>
    <row r="38">
      <c r="A38" s="115">
        <v>1.0</v>
      </c>
      <c r="B38" s="116">
        <f t="shared" ref="B38:B40" si="5">E38*125%</f>
        <v>6237.5</v>
      </c>
      <c r="C38" s="117">
        <f>B51*A38*B38</f>
        <v>623750</v>
      </c>
      <c r="D38" s="118">
        <f>B51*A38</f>
        <v>100</v>
      </c>
      <c r="E38" s="119">
        <v>4990.0</v>
      </c>
    </row>
    <row r="39">
      <c r="A39" s="115">
        <v>0.0</v>
      </c>
      <c r="B39" s="116">
        <f t="shared" si="5"/>
        <v>37500</v>
      </c>
      <c r="C39" s="117">
        <f>B50*A39*B39</f>
        <v>0</v>
      </c>
      <c r="D39" s="118">
        <f>B51*A39</f>
        <v>0</v>
      </c>
      <c r="E39" s="119">
        <f>E45*75%</f>
        <v>30000</v>
      </c>
    </row>
    <row r="40">
      <c r="A40" s="115">
        <v>0.0</v>
      </c>
      <c r="B40" s="116">
        <f t="shared" si="5"/>
        <v>31250</v>
      </c>
      <c r="C40" s="120">
        <f>B44*A40*B40</f>
        <v>0</v>
      </c>
      <c r="D40" s="118">
        <f>B51*A40</f>
        <v>0</v>
      </c>
      <c r="E40" s="119">
        <f>E46*50%</f>
        <v>25000</v>
      </c>
    </row>
    <row r="41">
      <c r="A41" s="108"/>
      <c r="B41" s="108"/>
      <c r="C41" s="108"/>
      <c r="D41" s="108"/>
      <c r="E41" s="123"/>
    </row>
    <row r="42">
      <c r="A42" s="108"/>
      <c r="B42" s="108"/>
      <c r="C42" s="108"/>
      <c r="D42" s="108"/>
      <c r="E42" s="123"/>
    </row>
    <row r="43">
      <c r="A43" s="110" t="s">
        <v>94</v>
      </c>
      <c r="B43" s="105" t="s">
        <v>82</v>
      </c>
      <c r="C43" s="105" t="s">
        <v>84</v>
      </c>
      <c r="D43" s="105" t="s">
        <v>85</v>
      </c>
      <c r="E43" s="111" t="s">
        <v>86</v>
      </c>
    </row>
    <row r="44">
      <c r="A44" s="115">
        <v>0.25</v>
      </c>
      <c r="B44" s="116">
        <f t="shared" ref="B44:B46" si="6">E44*125%</f>
        <v>37500</v>
      </c>
      <c r="C44" s="117">
        <f>B50*A44*B44</f>
        <v>375000</v>
      </c>
      <c r="D44" s="118">
        <f>B50*A44</f>
        <v>10</v>
      </c>
      <c r="E44" s="119">
        <v>30000.0</v>
      </c>
    </row>
    <row r="45">
      <c r="A45" s="115">
        <v>0.75</v>
      </c>
      <c r="B45" s="116">
        <f t="shared" si="6"/>
        <v>50000</v>
      </c>
      <c r="C45" s="117">
        <f>B50*A45*B45</f>
        <v>1500000</v>
      </c>
      <c r="D45" s="118">
        <f>B50*A45</f>
        <v>30</v>
      </c>
      <c r="E45" s="119">
        <v>40000.0</v>
      </c>
    </row>
    <row r="46">
      <c r="A46" s="115">
        <v>0.0</v>
      </c>
      <c r="B46" s="116">
        <f t="shared" si="6"/>
        <v>62500</v>
      </c>
      <c r="C46" s="120">
        <f>B50*A46*B46</f>
        <v>0</v>
      </c>
      <c r="D46" s="118">
        <f>B50*A46</f>
        <v>0</v>
      </c>
      <c r="E46" s="119">
        <v>50000.0</v>
      </c>
    </row>
    <row r="47">
      <c r="A47" s="127"/>
      <c r="B47" s="127"/>
      <c r="C47" s="128"/>
      <c r="D47" s="127"/>
    </row>
    <row r="48">
      <c r="A48" s="124">
        <f>SUM(A44:A46)</f>
        <v>1</v>
      </c>
      <c r="B48" s="127"/>
      <c r="C48" s="128"/>
      <c r="D48" s="127"/>
    </row>
    <row r="49">
      <c r="A49" s="129" t="s">
        <v>104</v>
      </c>
      <c r="B49" s="129"/>
      <c r="C49" s="130"/>
      <c r="D49" s="127"/>
    </row>
    <row r="50">
      <c r="A50" s="131" t="s">
        <v>107</v>
      </c>
      <c r="B50" s="132">
        <v>40.0</v>
      </c>
      <c r="C50" s="133">
        <f>SUM(C44:C46)</f>
        <v>1875000</v>
      </c>
      <c r="D50" s="127"/>
    </row>
    <row r="51">
      <c r="A51" s="131" t="s">
        <v>111</v>
      </c>
      <c r="B51" s="131">
        <v>100.0</v>
      </c>
      <c r="C51" s="133">
        <f>SUM(C38:C40)</f>
        <v>623750</v>
      </c>
      <c r="D51" s="127"/>
    </row>
    <row r="52">
      <c r="A52" s="131" t="s">
        <v>114</v>
      </c>
      <c r="B52" s="127"/>
      <c r="C52" s="133">
        <f>C49/(B50+B51)</f>
        <v>0</v>
      </c>
      <c r="D52" s="127"/>
    </row>
    <row r="53">
      <c r="A53" s="127" t="s">
        <v>115</v>
      </c>
      <c r="B53" s="136">
        <f>C49/12</f>
        <v>0</v>
      </c>
      <c r="C53" s="127"/>
      <c r="D53" s="127"/>
    </row>
    <row r="54">
      <c r="A54" s="40" t="s">
        <v>118</v>
      </c>
      <c r="C54" s="137">
        <f>SUM(C50:C51)</f>
        <v>2498750</v>
      </c>
    </row>
    <row r="58">
      <c r="A58" s="139" t="s">
        <v>121</v>
      </c>
      <c r="B58" s="139" t="s">
        <v>126</v>
      </c>
      <c r="C58" s="139" t="s">
        <v>127</v>
      </c>
      <c r="D58" s="139" t="s">
        <v>128</v>
      </c>
      <c r="E58" s="139" t="s">
        <v>129</v>
      </c>
    </row>
    <row r="59">
      <c r="A59" s="143" t="s">
        <v>131</v>
      </c>
      <c r="B59" s="148">
        <v>1.0</v>
      </c>
      <c r="C59" s="152">
        <v>1619.43</v>
      </c>
      <c r="D59" s="152">
        <f t="shared" ref="D59:D62" si="7">B59*C59</f>
        <v>1619.43</v>
      </c>
      <c r="E59" s="155" t="s">
        <v>140</v>
      </c>
    </row>
    <row r="60">
      <c r="A60" s="143" t="s">
        <v>141</v>
      </c>
      <c r="B60" s="148">
        <v>1.0</v>
      </c>
      <c r="C60" s="158">
        <v>99.94</v>
      </c>
      <c r="D60" s="152">
        <f t="shared" si="7"/>
        <v>99.94</v>
      </c>
      <c r="E60" s="155" t="s">
        <v>140</v>
      </c>
    </row>
    <row r="61">
      <c r="A61" s="148" t="s">
        <v>142</v>
      </c>
      <c r="B61" s="148">
        <v>1.0</v>
      </c>
      <c r="C61" s="158">
        <v>70.0</v>
      </c>
      <c r="D61" s="152">
        <f t="shared" si="7"/>
        <v>70</v>
      </c>
      <c r="E61" s="155" t="s">
        <v>140</v>
      </c>
    </row>
    <row r="62">
      <c r="A62" s="143" t="s">
        <v>143</v>
      </c>
      <c r="B62" s="148">
        <v>1.0</v>
      </c>
      <c r="C62" s="158">
        <v>74.62</v>
      </c>
      <c r="D62" s="152">
        <f t="shared" si="7"/>
        <v>74.62</v>
      </c>
      <c r="E62" s="155" t="s">
        <v>140</v>
      </c>
    </row>
    <row r="63">
      <c r="A63" s="143" t="s">
        <v>144</v>
      </c>
      <c r="B63" s="148">
        <v>1.0</v>
      </c>
      <c r="C63" s="162">
        <v>3419.88</v>
      </c>
      <c r="D63" s="158">
        <v>24150.0</v>
      </c>
      <c r="E63" s="155" t="s">
        <v>146</v>
      </c>
    </row>
    <row r="64">
      <c r="A64" s="143" t="s">
        <v>147</v>
      </c>
      <c r="B64" s="148">
        <v>1.0</v>
      </c>
      <c r="C64" s="158">
        <v>37500.0</v>
      </c>
      <c r="D64" s="152">
        <f t="shared" ref="D64:D68" si="8">B64*C64</f>
        <v>37500</v>
      </c>
      <c r="E64" s="166"/>
    </row>
    <row r="65">
      <c r="A65" s="148" t="s">
        <v>149</v>
      </c>
      <c r="B65" s="148">
        <v>1.0</v>
      </c>
      <c r="C65" s="152">
        <f>4995*1.25</f>
        <v>6243.75</v>
      </c>
      <c r="D65" s="152">
        <f t="shared" si="8"/>
        <v>6243.75</v>
      </c>
      <c r="E65" s="155" t="s">
        <v>140</v>
      </c>
    </row>
    <row r="66">
      <c r="A66" s="169"/>
      <c r="B66" s="169"/>
      <c r="C66" s="152"/>
      <c r="D66" s="152">
        <f t="shared" si="8"/>
        <v>0</v>
      </c>
      <c r="E66" s="166"/>
    </row>
    <row r="67">
      <c r="A67" s="169"/>
      <c r="B67" s="169"/>
      <c r="C67" s="152"/>
      <c r="D67" s="152">
        <f t="shared" si="8"/>
        <v>0</v>
      </c>
      <c r="E67" s="166"/>
    </row>
    <row r="68">
      <c r="A68" s="169"/>
      <c r="B68" s="169"/>
      <c r="C68" s="169"/>
      <c r="D68" s="152">
        <f t="shared" si="8"/>
        <v>0</v>
      </c>
      <c r="E68" s="166"/>
    </row>
    <row r="69">
      <c r="A69" s="169"/>
      <c r="B69" s="169"/>
      <c r="C69" s="169"/>
      <c r="D69" s="61"/>
      <c r="E69" s="166"/>
    </row>
    <row r="70">
      <c r="A70" s="169"/>
      <c r="B70" s="169"/>
      <c r="C70" s="169"/>
      <c r="D70" s="172">
        <f>SUM(D59:D68)</f>
        <v>69757.74</v>
      </c>
      <c r="E70" s="166"/>
    </row>
    <row r="71">
      <c r="E71" s="32"/>
    </row>
    <row r="73">
      <c r="A73" s="40" t="s">
        <v>153</v>
      </c>
    </row>
    <row r="74"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</row>
  </sheetData>
  <mergeCells count="1">
    <mergeCell ref="B4:C4"/>
  </mergeCells>
  <hyperlinks>
    <hyperlink r:id="rId1" ref="B4"/>
    <hyperlink r:id="rId2" ref="A59"/>
    <hyperlink r:id="rId3" ref="A60"/>
    <hyperlink r:id="rId4" ref="A62"/>
    <hyperlink r:id="rId5" ref="A63"/>
    <hyperlink r:id="rId6" ref="A64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32.63"/>
    <col customWidth="1" min="2" max="13" width="15.38"/>
    <col customWidth="1" min="14" max="14" width="3.63"/>
  </cols>
  <sheetData>
    <row r="1">
      <c r="A1" s="10" t="str">
        <f>"Budget "&amp;'Opsætning2025'!$B$6</f>
        <v>Budget 2025</v>
      </c>
    </row>
    <row r="2">
      <c r="A2" s="12" t="str">
        <f>'Opsætning2025'!$B$4</f>
        <v>Topix.dk ApS</v>
      </c>
    </row>
    <row r="3" ht="15.75" customHeight="1"/>
    <row r="4">
      <c r="A4" s="17" t="str">
        <f>"Alle beløb er i "&amp;'Opsætning2025'!B5&amp;" og ex. moms"</f>
        <v>Alle beløb er i DKK og ex. moms</v>
      </c>
      <c r="B4" s="18" t="str">
        <f>PROPER('Opsætning2025'!B$10)</f>
        <v>Januar-25</v>
      </c>
      <c r="C4" s="18" t="str">
        <f>PROPER('Opsætning2025'!C$10)</f>
        <v>Februar-25</v>
      </c>
      <c r="D4" s="18" t="str">
        <f>PROPER('Opsætning2025'!D$10)</f>
        <v>Marts-25</v>
      </c>
      <c r="E4" s="18" t="str">
        <f>PROPER('Opsætning2025'!E$10)</f>
        <v>April-25</v>
      </c>
      <c r="F4" s="18" t="str">
        <f>PROPER('Opsætning2025'!F$10)</f>
        <v>Maj-25</v>
      </c>
      <c r="G4" s="18" t="str">
        <f>PROPER('Opsætning2025'!G$10)</f>
        <v>Juni-25</v>
      </c>
      <c r="H4" s="18" t="str">
        <f>PROPER('Opsætning2025'!H$10)</f>
        <v>Juli-25</v>
      </c>
      <c r="I4" s="18" t="str">
        <f>PROPER('Opsætning2025'!I$10)</f>
        <v>August-25</v>
      </c>
      <c r="J4" s="18" t="str">
        <f>PROPER('Opsætning2025'!J$10)</f>
        <v>September-25</v>
      </c>
      <c r="K4" s="18" t="str">
        <f>PROPER('Opsætning2025'!K$10)</f>
        <v>Oktober-25</v>
      </c>
      <c r="L4" s="18" t="str">
        <f>PROPER('Opsætning2025'!L$10)</f>
        <v>November-25</v>
      </c>
      <c r="M4" s="18" t="str">
        <f>PROPER('Opsætning2025'!M$10)</f>
        <v>December-25</v>
      </c>
      <c r="O4" s="24" t="s">
        <v>10</v>
      </c>
    </row>
    <row r="5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9"/>
      <c r="O5" s="31"/>
    </row>
    <row r="6">
      <c r="A6" s="35" t="s">
        <v>15</v>
      </c>
      <c r="B6" s="37">
        <f>SUM('Opsætning2025'!B13*'Opsætning2025'!B15)</f>
        <v>0</v>
      </c>
      <c r="C6" s="37">
        <f>SUM('Opsætning2025'!C13*'Opsætning2025'!C15)</f>
        <v>0</v>
      </c>
      <c r="D6" s="37">
        <f>SUM('Opsætning2025'!D13*'Opsætning2025'!D15)</f>
        <v>10000</v>
      </c>
      <c r="E6" s="37">
        <f>SUM('Opsætning2025'!E13*'Opsætning2025'!E15)</f>
        <v>20000</v>
      </c>
      <c r="F6" s="37">
        <f>SUM('Opsætning2025'!F13*'Opsætning2025'!F15)</f>
        <v>20000</v>
      </c>
      <c r="G6" s="37">
        <f>SUM('Opsætning2025'!G13*'Opsætning2025'!G15)</f>
        <v>20000</v>
      </c>
      <c r="H6" s="37">
        <f>SUM('Opsætning2025'!H13*'Opsætning2025'!H15)</f>
        <v>20000</v>
      </c>
      <c r="I6" s="37">
        <f>SUM('Opsætning2025'!I13*'Opsætning2025'!I15)</f>
        <v>100000</v>
      </c>
      <c r="J6" s="37">
        <f>SUM('Opsætning2025'!J13*'Opsætning2025'!J15)</f>
        <v>100000</v>
      </c>
      <c r="K6" s="37">
        <f>SUM('Opsætning2025'!K13*'Opsætning2025'!K15)</f>
        <v>100000</v>
      </c>
      <c r="L6" s="37">
        <f>SUM('Opsætning2025'!L13*'Opsætning2025'!L15)</f>
        <v>100000</v>
      </c>
      <c r="M6" s="37">
        <f>SUM('Opsætning2025'!M13*'Opsætning2025'!M15)</f>
        <v>100000</v>
      </c>
      <c r="O6" s="44">
        <f t="shared" ref="O6:O7" si="1">SUM(B6:M6)</f>
        <v>590000</v>
      </c>
    </row>
    <row r="7">
      <c r="A7" s="35" t="s">
        <v>45</v>
      </c>
      <c r="B7" s="37">
        <f>SUM('Opsætning2025'!B14*'Opsætning2025'!B16)</f>
        <v>0</v>
      </c>
      <c r="C7" s="37">
        <f>SUM('Opsætning2025'!C14*'Opsætning2025'!C16)</f>
        <v>0</v>
      </c>
      <c r="D7" s="37">
        <f>SUM('Opsætning2025'!D14*'Opsætning2025'!D16)</f>
        <v>0</v>
      </c>
      <c r="E7" s="37">
        <f>SUM('Opsætning2025'!E14*'Opsætning2025'!E16)</f>
        <v>240000</v>
      </c>
      <c r="F7" s="37">
        <f>SUM('Opsætning2025'!F14*'Opsætning2025'!F16)</f>
        <v>280000</v>
      </c>
      <c r="G7" s="37">
        <f>SUM('Opsætning2025'!G14*'Opsætning2025'!G16)</f>
        <v>80000</v>
      </c>
      <c r="H7" s="37">
        <f>SUM('Opsætning2025'!H14*'Opsætning2025'!H16)</f>
        <v>0</v>
      </c>
      <c r="I7" s="37">
        <f>SUM('Opsætning2025'!I14*'Opsætning2025'!I16)</f>
        <v>240000</v>
      </c>
      <c r="J7" s="37">
        <f>SUM('Opsætning2025'!J14*'Opsætning2025'!J16)</f>
        <v>240000</v>
      </c>
      <c r="K7" s="37">
        <f>SUM('Opsætning2025'!K14*'Opsætning2025'!K16)</f>
        <v>200000</v>
      </c>
      <c r="L7" s="37">
        <f>SUM('Opsætning2025'!L14*'Opsætning2025'!L16)</f>
        <v>120000</v>
      </c>
      <c r="M7" s="37">
        <f>SUM('Opsætning2025'!M14*'Opsætning2025'!M16)</f>
        <v>120000</v>
      </c>
      <c r="O7" s="44">
        <f t="shared" si="1"/>
        <v>1520000</v>
      </c>
    </row>
    <row r="8">
      <c r="A8" s="26" t="s">
        <v>43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9"/>
      <c r="O8" s="48"/>
    </row>
    <row r="9">
      <c r="A9" s="35" t="s">
        <v>44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55"/>
      <c r="O9" s="44">
        <f t="shared" ref="O9:O13" si="2">SUM(B9:M9)</f>
        <v>0</v>
      </c>
    </row>
    <row r="10">
      <c r="A10" s="35" t="s">
        <v>47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55"/>
      <c r="O10" s="44">
        <f t="shared" si="2"/>
        <v>0</v>
      </c>
    </row>
    <row r="11">
      <c r="A11" s="35" t="s">
        <v>48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55"/>
      <c r="O11" s="44">
        <f t="shared" si="2"/>
        <v>0</v>
      </c>
    </row>
    <row r="12">
      <c r="A12" s="56" t="s">
        <v>50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/>
      <c r="O12" s="63">
        <f t="shared" si="2"/>
        <v>0</v>
      </c>
    </row>
    <row r="13">
      <c r="A13" s="65" t="s">
        <v>52</v>
      </c>
      <c r="B13" s="68">
        <f t="shared" ref="B13:M13" si="3">SUM(B6:B12)</f>
        <v>0</v>
      </c>
      <c r="C13" s="68">
        <f t="shared" si="3"/>
        <v>0</v>
      </c>
      <c r="D13" s="68">
        <f t="shared" si="3"/>
        <v>10000</v>
      </c>
      <c r="E13" s="68">
        <f t="shared" si="3"/>
        <v>260000</v>
      </c>
      <c r="F13" s="68">
        <f t="shared" si="3"/>
        <v>300000</v>
      </c>
      <c r="G13" s="68">
        <f t="shared" si="3"/>
        <v>100000</v>
      </c>
      <c r="H13" s="68">
        <f t="shared" si="3"/>
        <v>20000</v>
      </c>
      <c r="I13" s="68">
        <f t="shared" si="3"/>
        <v>340000</v>
      </c>
      <c r="J13" s="68">
        <f t="shared" si="3"/>
        <v>340000</v>
      </c>
      <c r="K13" s="68">
        <f t="shared" si="3"/>
        <v>300000</v>
      </c>
      <c r="L13" s="68">
        <f t="shared" si="3"/>
        <v>220000</v>
      </c>
      <c r="M13" s="71">
        <f t="shared" si="3"/>
        <v>220000</v>
      </c>
      <c r="O13" s="75">
        <f t="shared" si="2"/>
        <v>2110000</v>
      </c>
    </row>
    <row r="14">
      <c r="A14" s="81" t="s">
        <v>59</v>
      </c>
      <c r="B14" s="83">
        <v>0.0</v>
      </c>
      <c r="C14" s="83">
        <v>0.0</v>
      </c>
      <c r="D14" s="86">
        <f t="shared" ref="D14:M14" si="4">D13/SUM(D6:D7)</f>
        <v>1</v>
      </c>
      <c r="E14" s="86">
        <f t="shared" si="4"/>
        <v>1</v>
      </c>
      <c r="F14" s="86">
        <f t="shared" si="4"/>
        <v>1</v>
      </c>
      <c r="G14" s="86">
        <f t="shared" si="4"/>
        <v>1</v>
      </c>
      <c r="H14" s="86">
        <f t="shared" si="4"/>
        <v>1</v>
      </c>
      <c r="I14" s="86">
        <f t="shared" si="4"/>
        <v>1</v>
      </c>
      <c r="J14" s="86">
        <f t="shared" si="4"/>
        <v>1</v>
      </c>
      <c r="K14" s="86">
        <f t="shared" si="4"/>
        <v>1</v>
      </c>
      <c r="L14" s="86">
        <f t="shared" si="4"/>
        <v>1</v>
      </c>
      <c r="M14" s="88">
        <f t="shared" si="4"/>
        <v>1</v>
      </c>
      <c r="O14" s="89"/>
    </row>
    <row r="15">
      <c r="A15" s="90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55"/>
      <c r="O15" s="89"/>
    </row>
    <row r="16">
      <c r="A16" s="26" t="s">
        <v>71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9"/>
      <c r="O16" s="48"/>
    </row>
    <row r="17">
      <c r="A17" s="35" t="s">
        <v>60</v>
      </c>
      <c r="B17" s="67">
        <f>-('Opsætning2025'!B19+'Opsætning2025'!B20)</f>
        <v>0</v>
      </c>
      <c r="C17" s="67">
        <f>-('Opsætning2025'!C19+'Opsætning2025'!C20)</f>
        <v>-21000</v>
      </c>
      <c r="D17" s="67">
        <f>-('Opsætning2025'!D19+'Opsætning2025'!D20)</f>
        <v>-2313</v>
      </c>
      <c r="E17" s="67">
        <f>-('Opsætning2025'!E19+'Opsætning2025'!E20)</f>
        <v>0</v>
      </c>
      <c r="F17" s="67">
        <f>-('Opsætning2025'!F19+'Opsætning2025'!F20)</f>
        <v>-15000</v>
      </c>
      <c r="G17" s="67">
        <f>-('Opsætning2025'!G19+'Opsætning2025'!G20)</f>
        <v>-10000</v>
      </c>
      <c r="H17" s="67">
        <f>-('Opsætning2025'!H19+'Opsætning2025'!H20)</f>
        <v>-10000</v>
      </c>
      <c r="I17" s="67">
        <f>-('Opsætning2025'!I19+'Opsætning2025'!I20)</f>
        <v>-15000</v>
      </c>
      <c r="J17" s="67">
        <f>-('Opsætning2025'!J19+'Opsætning2025'!J20)</f>
        <v>-21000</v>
      </c>
      <c r="K17" s="67">
        <f>-('Opsætning2025'!K19+'Opsætning2025'!K20)</f>
        <v>-21000</v>
      </c>
      <c r="L17" s="67">
        <f>-('Opsætning2025'!L19+'Opsætning2025'!L20)</f>
        <v>-21000</v>
      </c>
      <c r="M17" s="67">
        <f>-('Opsætning2025'!M19+'Opsætning2025'!M20)</f>
        <v>-21000</v>
      </c>
      <c r="O17" s="44">
        <f t="shared" ref="O17:O21" si="5">SUM(B17:M17)</f>
        <v>-157313</v>
      </c>
    </row>
    <row r="18">
      <c r="A18" s="35" t="s">
        <v>75</v>
      </c>
      <c r="B18" s="94">
        <f>-('Opsætning2025'!B$30+('Opsætning2025'!B$13*('Opsætning2025'!B$32+('Opsætning2025'!B$16*'Opsætning2025'!B$31))))</f>
        <v>0</v>
      </c>
      <c r="C18" s="94">
        <f>-('Opsætning2025'!C$30+('Opsætning2025'!C$13*('Opsætning2025'!C$32+('Opsætning2025'!C$16*'Opsætning2025'!C$31))))</f>
        <v>0</v>
      </c>
      <c r="D18" s="94">
        <f>-('Opsætning2025'!D$30+('Opsætning2025'!D$13*('Opsætning2025'!D$32+('Opsætning2025'!D$16*'Opsætning2025'!D$31))))</f>
        <v>-3.6</v>
      </c>
      <c r="E18" s="94">
        <f>-('Opsætning2025'!E$30+('Opsætning2025'!E$13*('Opsætning2025'!E$32+('Opsætning2025'!E$16*'Opsætning2025'!E$31))))</f>
        <v>-4207.2</v>
      </c>
      <c r="F18" s="94">
        <f>-('Opsætning2025'!F$30+('Opsætning2025'!F$13*('Opsætning2025'!F$32+('Opsætning2025'!F$16*'Opsætning2025'!F$31))))</f>
        <v>-5607.2</v>
      </c>
      <c r="G18" s="94">
        <f>-('Opsætning2025'!G$30+('Opsætning2025'!G$13*('Opsætning2025'!G$32+('Opsætning2025'!G$16*'Opsætning2025'!G$31))))</f>
        <v>-5607.2</v>
      </c>
      <c r="H18" s="94">
        <f>-('Opsætning2025'!H$30+('Opsætning2025'!H$13*('Opsætning2025'!H$32+('Opsætning2025'!H$16*'Opsætning2025'!H$31))))</f>
        <v>-5607.2</v>
      </c>
      <c r="I18" s="94">
        <f>-('Opsætning2025'!I$30+('Opsætning2025'!I$13*('Opsætning2025'!I$32+('Opsætning2025'!I$16*'Opsætning2025'!I$31))))</f>
        <v>-28036</v>
      </c>
      <c r="J18" s="94">
        <f>-('Opsætning2025'!J$30+('Opsætning2025'!J$13*('Opsætning2025'!J$32+('Opsætning2025'!J$16*'Opsætning2025'!J$31))))</f>
        <v>-28036</v>
      </c>
      <c r="K18" s="94">
        <f>-('Opsætning2025'!K$30+('Opsætning2025'!K$13*('Opsætning2025'!K$32+('Opsætning2025'!K$16*'Opsætning2025'!K$31))))</f>
        <v>-28036</v>
      </c>
      <c r="L18" s="94">
        <f>-('Opsætning2025'!L$30+('Opsætning2025'!L$13*('Opsætning2025'!L$32+('Opsætning2025'!L$16*'Opsætning2025'!L$31))))</f>
        <v>-28036</v>
      </c>
      <c r="M18" s="97">
        <f>-('Opsætning2025'!M$30+('Opsætning2025'!M$13*('Opsætning2025'!M$32+('Opsætning2025'!M$16*'Opsætning2025'!M$31))))</f>
        <v>-28036</v>
      </c>
      <c r="O18" s="44">
        <f t="shared" si="5"/>
        <v>-161212.4</v>
      </c>
    </row>
    <row r="19">
      <c r="A19" s="35" t="s">
        <v>78</v>
      </c>
      <c r="B19" s="98">
        <v>-90000.0</v>
      </c>
      <c r="C19" s="98">
        <v>-45000.0</v>
      </c>
      <c r="D19" s="98">
        <v>-45000.0</v>
      </c>
      <c r="E19" s="98">
        <v>-5000.0</v>
      </c>
      <c r="F19" s="98">
        <v>0.0</v>
      </c>
      <c r="G19" s="98">
        <v>0.0</v>
      </c>
      <c r="H19" s="98">
        <v>0.0</v>
      </c>
      <c r="I19" s="98">
        <v>0.0</v>
      </c>
      <c r="J19" s="98">
        <v>0.0</v>
      </c>
      <c r="K19" s="98">
        <v>0.0</v>
      </c>
      <c r="L19" s="98">
        <v>0.0</v>
      </c>
      <c r="M19" s="98">
        <v>0.0</v>
      </c>
      <c r="O19" s="44">
        <f t="shared" si="5"/>
        <v>-185000</v>
      </c>
    </row>
    <row r="20">
      <c r="A20" s="99" t="s">
        <v>79</v>
      </c>
      <c r="B20" s="98"/>
      <c r="C20" s="98"/>
      <c r="D20" s="98"/>
      <c r="E20" s="98"/>
      <c r="F20" s="98">
        <v>-2000.0</v>
      </c>
      <c r="G20" s="98">
        <v>-2000.0</v>
      </c>
      <c r="H20" s="98">
        <v>-2000.0</v>
      </c>
      <c r="I20" s="98">
        <v>-2000.0</v>
      </c>
      <c r="J20" s="98">
        <v>-2000.0</v>
      </c>
      <c r="K20" s="98">
        <v>-2000.0</v>
      </c>
      <c r="L20" s="98">
        <v>-2000.0</v>
      </c>
      <c r="M20" s="98">
        <v>-2000.0</v>
      </c>
      <c r="O20" s="44">
        <f t="shared" si="5"/>
        <v>-16000</v>
      </c>
    </row>
    <row r="21">
      <c r="A21" s="35" t="s">
        <v>80</v>
      </c>
      <c r="B21" s="98">
        <f>-(B6*'Opsætning2025'!B$26)</f>
        <v>0</v>
      </c>
      <c r="C21" s="98">
        <f>-(C6*'Opsætning2025'!C$26)</f>
        <v>0</v>
      </c>
      <c r="D21" s="98">
        <f>-(D6*'Opsætning2025'!D$26)</f>
        <v>0</v>
      </c>
      <c r="E21" s="98">
        <f>-(E6*'Opsætning2025'!E$26)</f>
        <v>0</v>
      </c>
      <c r="F21" s="98">
        <f>-(F6*'Opsætning2025'!F$26)</f>
        <v>0</v>
      </c>
      <c r="G21" s="98">
        <f>-(G6*'Opsætning2025'!G$26)</f>
        <v>0</v>
      </c>
      <c r="H21" s="98">
        <f>-(H6*'Opsætning2025'!H$26)</f>
        <v>0</v>
      </c>
      <c r="I21" s="98">
        <f>-(I6*'Opsætning2025'!I$26)</f>
        <v>0</v>
      </c>
      <c r="J21" s="98">
        <f>-(J6*'Opsætning2025'!J$26)</f>
        <v>0</v>
      </c>
      <c r="K21" s="98">
        <f>-(K6*'Opsætning2025'!K$26)</f>
        <v>0</v>
      </c>
      <c r="L21" s="98">
        <f>-(L6*'Opsætning2025'!L$26)</f>
        <v>0</v>
      </c>
      <c r="M21" s="109">
        <f>-(M6*'Opsætning2025'!M$26)</f>
        <v>0</v>
      </c>
      <c r="O21" s="44">
        <f t="shared" si="5"/>
        <v>0</v>
      </c>
    </row>
    <row r="22">
      <c r="A22" s="26" t="s">
        <v>87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4"/>
      <c r="O22" s="48"/>
    </row>
    <row r="23">
      <c r="A23" s="35" t="s">
        <v>88</v>
      </c>
      <c r="B23" s="98">
        <v>0.0</v>
      </c>
      <c r="C23" s="98">
        <v>0.0</v>
      </c>
      <c r="D23" s="98">
        <v>0.0</v>
      </c>
      <c r="E23" s="98">
        <f>-18640*2</f>
        <v>-37280</v>
      </c>
      <c r="F23" s="98">
        <v>-50000.0</v>
      </c>
      <c r="G23" s="98">
        <v>-50000.0</v>
      </c>
      <c r="H23" s="98">
        <v>-50000.0</v>
      </c>
      <c r="I23" s="98">
        <v>-50000.0</v>
      </c>
      <c r="J23" s="98">
        <v>-60000.0</v>
      </c>
      <c r="K23" s="98">
        <v>-70000.0</v>
      </c>
      <c r="L23" s="98">
        <v>-80000.0</v>
      </c>
      <c r="M23" s="98">
        <v>-80000.0</v>
      </c>
      <c r="O23" s="44">
        <f t="shared" ref="O23:O26" si="7">SUM(B23:M23)</f>
        <v>-527280</v>
      </c>
    </row>
    <row r="24">
      <c r="A24" s="35" t="s">
        <v>89</v>
      </c>
      <c r="B24" s="98"/>
      <c r="C24" s="98">
        <v>0.0</v>
      </c>
      <c r="D24" s="98">
        <v>0.0</v>
      </c>
      <c r="E24" s="98">
        <f t="shared" ref="E24:M24" si="6">E13*15%*-1</f>
        <v>-39000</v>
      </c>
      <c r="F24" s="98">
        <f t="shared" si="6"/>
        <v>-45000</v>
      </c>
      <c r="G24" s="98">
        <f t="shared" si="6"/>
        <v>-15000</v>
      </c>
      <c r="H24" s="98">
        <f t="shared" si="6"/>
        <v>-3000</v>
      </c>
      <c r="I24" s="98">
        <f t="shared" si="6"/>
        <v>-51000</v>
      </c>
      <c r="J24" s="98">
        <f t="shared" si="6"/>
        <v>-51000</v>
      </c>
      <c r="K24" s="98">
        <f t="shared" si="6"/>
        <v>-45000</v>
      </c>
      <c r="L24" s="98">
        <f t="shared" si="6"/>
        <v>-33000</v>
      </c>
      <c r="M24" s="98">
        <f t="shared" si="6"/>
        <v>-33000</v>
      </c>
      <c r="O24" s="44">
        <f t="shared" si="7"/>
        <v>-315000</v>
      </c>
    </row>
    <row r="25">
      <c r="A25" s="35" t="s">
        <v>90</v>
      </c>
      <c r="B25" s="98">
        <f>B23*'Opsætning2025'!$B$8</f>
        <v>0</v>
      </c>
      <c r="C25" s="98">
        <f>C23*'Opsætning2025'!$B$8</f>
        <v>0</v>
      </c>
      <c r="D25" s="98">
        <f>D23*'Opsætning2025'!$B$8</f>
        <v>0</v>
      </c>
      <c r="E25" s="98">
        <f>E23*'Opsætning2025'!$B$8</f>
        <v>-5964.8</v>
      </c>
      <c r="F25" s="98">
        <f>F23*'Opsætning2025'!$B$8</f>
        <v>-8000</v>
      </c>
      <c r="G25" s="98">
        <f>G23*'Opsætning2025'!$B$8</f>
        <v>-8000</v>
      </c>
      <c r="H25" s="98">
        <f>H23*'Opsætning2025'!$B$8</f>
        <v>-8000</v>
      </c>
      <c r="I25" s="98">
        <f>I23*'Opsætning2025'!$B$8</f>
        <v>-8000</v>
      </c>
      <c r="J25" s="98">
        <f>J23*'Opsætning2025'!$B$8</f>
        <v>-9600</v>
      </c>
      <c r="K25" s="98">
        <f>K23*'Opsætning2025'!$B$8</f>
        <v>-11200</v>
      </c>
      <c r="L25" s="98">
        <f>L23*'Opsætning2025'!$B$8</f>
        <v>-12800</v>
      </c>
      <c r="M25" s="109">
        <f>M23*'Opsætning2025'!$B$8</f>
        <v>-12800</v>
      </c>
      <c r="O25" s="44">
        <f t="shared" si="7"/>
        <v>-84364.8</v>
      </c>
    </row>
    <row r="26">
      <c r="A26" s="35" t="s">
        <v>91</v>
      </c>
      <c r="B26" s="98">
        <v>-500.0</v>
      </c>
      <c r="C26" s="98">
        <v>-500.0</v>
      </c>
      <c r="D26" s="98">
        <v>-500.0</v>
      </c>
      <c r="E26" s="98">
        <v>-500.0</v>
      </c>
      <c r="F26" s="98">
        <v>-500.0</v>
      </c>
      <c r="G26" s="98">
        <v>-500.0</v>
      </c>
      <c r="H26" s="98">
        <v>-500.0</v>
      </c>
      <c r="I26" s="98">
        <v>-500.0</v>
      </c>
      <c r="J26" s="98">
        <v>-500.0</v>
      </c>
      <c r="K26" s="98">
        <v>-500.0</v>
      </c>
      <c r="L26" s="98">
        <v>-500.0</v>
      </c>
      <c r="M26" s="98">
        <v>-500.0</v>
      </c>
      <c r="O26" s="44">
        <f t="shared" si="7"/>
        <v>-6000</v>
      </c>
    </row>
    <row r="27">
      <c r="A27" s="26" t="s">
        <v>92</v>
      </c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2"/>
      <c r="O27" s="48"/>
    </row>
    <row r="28">
      <c r="A28" s="35" t="s">
        <v>93</v>
      </c>
      <c r="B28" s="98">
        <v>-25000.0</v>
      </c>
      <c r="C28" s="98">
        <v>0.0</v>
      </c>
      <c r="D28" s="98">
        <v>0.0</v>
      </c>
      <c r="E28" s="98">
        <v>0.0</v>
      </c>
      <c r="F28" s="98">
        <v>0.0</v>
      </c>
      <c r="G28" s="98">
        <v>0.0</v>
      </c>
      <c r="H28" s="98">
        <v>0.0</v>
      </c>
      <c r="I28" s="98">
        <v>0.0</v>
      </c>
      <c r="J28" s="98">
        <v>0.0</v>
      </c>
      <c r="K28" s="98">
        <v>0.0</v>
      </c>
      <c r="L28" s="98">
        <v>0.0</v>
      </c>
      <c r="M28" s="98">
        <v>0.0</v>
      </c>
      <c r="O28" s="44">
        <f t="shared" ref="O28:O42" si="8">SUM(B28:M28)</f>
        <v>-25000</v>
      </c>
    </row>
    <row r="29">
      <c r="A29" s="35" t="s">
        <v>95</v>
      </c>
      <c r="B29" s="98">
        <v>-100000.0</v>
      </c>
      <c r="C29" s="98">
        <v>-30000.0</v>
      </c>
      <c r="D29" s="98">
        <v>-20000.0</v>
      </c>
      <c r="E29" s="98">
        <v>-5000.0</v>
      </c>
      <c r="F29" s="98">
        <v>-5000.0</v>
      </c>
      <c r="G29" s="98">
        <v>-5000.0</v>
      </c>
      <c r="H29" s="98">
        <v>-5000.0</v>
      </c>
      <c r="I29" s="98">
        <v>-5000.0</v>
      </c>
      <c r="J29" s="98">
        <v>-5000.0</v>
      </c>
      <c r="K29" s="98">
        <v>-5000.0</v>
      </c>
      <c r="L29" s="98">
        <v>-5000.0</v>
      </c>
      <c r="M29" s="98">
        <v>-5000.0</v>
      </c>
      <c r="O29" s="44">
        <f t="shared" si="8"/>
        <v>-195000</v>
      </c>
    </row>
    <row r="30">
      <c r="A30" s="35" t="s">
        <v>96</v>
      </c>
      <c r="B30" s="98">
        <v>-500.0</v>
      </c>
      <c r="C30" s="98">
        <v>-500.0</v>
      </c>
      <c r="D30" s="98">
        <v>-500.0</v>
      </c>
      <c r="E30" s="98">
        <v>-500.0</v>
      </c>
      <c r="F30" s="98">
        <v>-500.0</v>
      </c>
      <c r="G30" s="98">
        <v>-500.0</v>
      </c>
      <c r="H30" s="98">
        <v>-500.0</v>
      </c>
      <c r="I30" s="98">
        <v>-500.0</v>
      </c>
      <c r="J30" s="98">
        <v>-500.0</v>
      </c>
      <c r="K30" s="98">
        <v>-500.0</v>
      </c>
      <c r="L30" s="98">
        <v>-500.0</v>
      </c>
      <c r="M30" s="98">
        <v>-500.0</v>
      </c>
      <c r="O30" s="44">
        <f t="shared" si="8"/>
        <v>-6000</v>
      </c>
    </row>
    <row r="31">
      <c r="A31" s="125" t="s">
        <v>97</v>
      </c>
      <c r="B31" s="126">
        <v>-155.0</v>
      </c>
      <c r="C31" s="126">
        <v>-155.0</v>
      </c>
      <c r="D31" s="126">
        <v>-155.0</v>
      </c>
      <c r="E31" s="126">
        <v>-155.0</v>
      </c>
      <c r="F31" s="126">
        <v>-155.0</v>
      </c>
      <c r="G31" s="126">
        <v>-155.0</v>
      </c>
      <c r="H31" s="126">
        <v>-155.0</v>
      </c>
      <c r="I31" s="126">
        <v>-155.0</v>
      </c>
      <c r="J31" s="126">
        <v>-155.0</v>
      </c>
      <c r="K31" s="126">
        <v>-155.0</v>
      </c>
      <c r="L31" s="126">
        <v>-155.0</v>
      </c>
      <c r="M31" s="126">
        <v>-155.0</v>
      </c>
      <c r="O31" s="44">
        <f t="shared" si="8"/>
        <v>-1860</v>
      </c>
    </row>
    <row r="32">
      <c r="A32" s="125" t="s">
        <v>98</v>
      </c>
      <c r="B32" s="121"/>
      <c r="C32" s="121"/>
      <c r="D32" s="126">
        <v>-703.0</v>
      </c>
      <c r="E32" s="126">
        <v>-118.0</v>
      </c>
      <c r="F32" s="126">
        <v>-585.0</v>
      </c>
      <c r="G32" s="121"/>
      <c r="H32" s="121"/>
      <c r="I32" s="121"/>
      <c r="J32" s="121"/>
      <c r="K32" s="121"/>
      <c r="L32" s="121"/>
      <c r="M32" s="121"/>
      <c r="O32" s="44">
        <f t="shared" si="8"/>
        <v>-1406</v>
      </c>
    </row>
    <row r="33">
      <c r="A33" s="125" t="s">
        <v>99</v>
      </c>
      <c r="B33" s="126">
        <v>-275.0</v>
      </c>
      <c r="C33" s="126">
        <v>-275.0</v>
      </c>
      <c r="D33" s="126">
        <v>-275.0</v>
      </c>
      <c r="E33" s="126">
        <v>-275.0</v>
      </c>
      <c r="F33" s="126">
        <v>-275.0</v>
      </c>
      <c r="G33" s="126">
        <v>-275.0</v>
      </c>
      <c r="H33" s="126">
        <v>-275.0</v>
      </c>
      <c r="I33" s="126">
        <v>-275.0</v>
      </c>
      <c r="J33" s="126">
        <v>-275.0</v>
      </c>
      <c r="K33" s="126">
        <v>-275.0</v>
      </c>
      <c r="L33" s="126">
        <v>-275.0</v>
      </c>
      <c r="M33" s="126">
        <v>-275.0</v>
      </c>
      <c r="O33" s="44">
        <f t="shared" si="8"/>
        <v>-3300</v>
      </c>
    </row>
    <row r="34">
      <c r="A34" s="125" t="s">
        <v>100</v>
      </c>
      <c r="B34" s="121"/>
      <c r="C34" s="126">
        <v>-220.0</v>
      </c>
      <c r="D34" s="126">
        <v>-212.0</v>
      </c>
      <c r="E34" s="126">
        <v>-315.0</v>
      </c>
      <c r="F34" s="126">
        <v>-410.0</v>
      </c>
      <c r="G34" s="121"/>
      <c r="H34" s="121"/>
      <c r="I34" s="121"/>
      <c r="J34" s="121"/>
      <c r="K34" s="121"/>
      <c r="L34" s="121"/>
      <c r="M34" s="121"/>
      <c r="O34" s="44">
        <f t="shared" si="8"/>
        <v>-1157</v>
      </c>
    </row>
    <row r="35">
      <c r="A35" s="125" t="s">
        <v>101</v>
      </c>
      <c r="B35" s="121"/>
      <c r="C35" s="126">
        <v>-1713.0</v>
      </c>
      <c r="D35" s="121"/>
      <c r="E35" s="121"/>
      <c r="F35" s="126"/>
      <c r="G35" s="121"/>
      <c r="H35" s="121"/>
      <c r="I35" s="121"/>
      <c r="J35" s="121"/>
      <c r="K35" s="121"/>
      <c r="L35" s="121"/>
      <c r="M35" s="121"/>
      <c r="O35" s="44">
        <f t="shared" si="8"/>
        <v>-1713</v>
      </c>
    </row>
    <row r="36">
      <c r="A36" s="125" t="s">
        <v>102</v>
      </c>
      <c r="B36" s="126"/>
      <c r="C36" s="126"/>
      <c r="D36" s="121"/>
      <c r="E36" s="126">
        <v>-446.0</v>
      </c>
      <c r="F36" s="126">
        <v>-446.0</v>
      </c>
      <c r="G36" s="126">
        <v>-446.0</v>
      </c>
      <c r="H36" s="126">
        <v>-446.0</v>
      </c>
      <c r="I36" s="126">
        <v>-446.0</v>
      </c>
      <c r="J36" s="126">
        <v>-446.0</v>
      </c>
      <c r="K36" s="126">
        <v>-446.0</v>
      </c>
      <c r="L36" s="126">
        <v>-446.0</v>
      </c>
      <c r="M36" s="126">
        <v>-446.0</v>
      </c>
      <c r="O36" s="44">
        <f t="shared" si="8"/>
        <v>-4014</v>
      </c>
    </row>
    <row r="37">
      <c r="A37" s="125" t="s">
        <v>103</v>
      </c>
      <c r="B37" s="126">
        <v>-237.0</v>
      </c>
      <c r="C37" s="126">
        <v>-237.0</v>
      </c>
      <c r="D37" s="126">
        <v>-237.0</v>
      </c>
      <c r="E37" s="126">
        <v>-237.0</v>
      </c>
      <c r="F37" s="126">
        <v>-237.0</v>
      </c>
      <c r="G37" s="126">
        <v>-237.0</v>
      </c>
      <c r="H37" s="126">
        <v>-237.0</v>
      </c>
      <c r="I37" s="126">
        <v>-237.0</v>
      </c>
      <c r="J37" s="126">
        <v>-237.0</v>
      </c>
      <c r="K37" s="126">
        <v>-237.0</v>
      </c>
      <c r="L37" s="126">
        <v>-237.0</v>
      </c>
      <c r="M37" s="126">
        <v>-237.0</v>
      </c>
      <c r="O37" s="44">
        <f t="shared" si="8"/>
        <v>-2844</v>
      </c>
    </row>
    <row r="38">
      <c r="A38" s="125" t="s">
        <v>105</v>
      </c>
      <c r="B38" s="126">
        <v>-100.0</v>
      </c>
      <c r="C38" s="126">
        <v>-100.0</v>
      </c>
      <c r="D38" s="126">
        <v>-100.0</v>
      </c>
      <c r="E38" s="126">
        <v>-100.0</v>
      </c>
      <c r="F38" s="126">
        <v>-100.0</v>
      </c>
      <c r="G38" s="126">
        <v>-100.0</v>
      </c>
      <c r="H38" s="126">
        <v>-100.0</v>
      </c>
      <c r="I38" s="126">
        <v>-100.0</v>
      </c>
      <c r="J38" s="126">
        <v>-100.0</v>
      </c>
      <c r="K38" s="126">
        <v>-100.0</v>
      </c>
      <c r="L38" s="126">
        <v>-100.0</v>
      </c>
      <c r="M38" s="126">
        <v>-100.0</v>
      </c>
      <c r="O38" s="44">
        <f t="shared" si="8"/>
        <v>-1200</v>
      </c>
    </row>
    <row r="39">
      <c r="A39" s="125" t="s">
        <v>106</v>
      </c>
      <c r="B39" s="126"/>
      <c r="C39" s="126"/>
      <c r="D39" s="121"/>
      <c r="E39" s="126">
        <v>-31.0</v>
      </c>
      <c r="F39" s="126">
        <v>-31.0</v>
      </c>
      <c r="G39" s="126">
        <v>-31.0</v>
      </c>
      <c r="H39" s="126">
        <v>-31.0</v>
      </c>
      <c r="I39" s="126">
        <v>-31.0</v>
      </c>
      <c r="J39" s="126">
        <v>-31.0</v>
      </c>
      <c r="K39" s="126">
        <v>-31.0</v>
      </c>
      <c r="L39" s="126">
        <v>-31.0</v>
      </c>
      <c r="M39" s="126">
        <v>-31.0</v>
      </c>
      <c r="O39" s="44">
        <f t="shared" si="8"/>
        <v>-279</v>
      </c>
    </row>
    <row r="40">
      <c r="A40" s="125" t="s">
        <v>108</v>
      </c>
      <c r="B40" s="126">
        <v>-6500.0</v>
      </c>
      <c r="C40" s="126">
        <v>-3871.0</v>
      </c>
      <c r="D40" s="121"/>
      <c r="E40" s="121"/>
      <c r="F40" s="126">
        <v>-240.0</v>
      </c>
      <c r="G40" s="126">
        <v>-240.0</v>
      </c>
      <c r="H40" s="126">
        <v>-240.0</v>
      </c>
      <c r="I40" s="126">
        <v>-240.0</v>
      </c>
      <c r="J40" s="126">
        <v>-240.0</v>
      </c>
      <c r="K40" s="126">
        <v>-240.0</v>
      </c>
      <c r="L40" s="126">
        <v>-240.0</v>
      </c>
      <c r="M40" s="126">
        <v>-240.0</v>
      </c>
      <c r="O40" s="44">
        <f t="shared" si="8"/>
        <v>-12291</v>
      </c>
    </row>
    <row r="41">
      <c r="A41" s="125" t="s">
        <v>109</v>
      </c>
      <c r="B41" s="121"/>
      <c r="C41" s="121"/>
      <c r="D41" s="121"/>
      <c r="E41" s="121"/>
      <c r="F41" s="126">
        <v>-2500.0</v>
      </c>
      <c r="G41" s="121"/>
      <c r="H41" s="121"/>
      <c r="I41" s="121"/>
      <c r="J41" s="121"/>
      <c r="K41" s="121"/>
      <c r="L41" s="121"/>
      <c r="M41" s="121"/>
      <c r="O41" s="44">
        <f t="shared" si="8"/>
        <v>-2500</v>
      </c>
    </row>
    <row r="42">
      <c r="A42" s="125" t="s">
        <v>110</v>
      </c>
      <c r="B42" s="121"/>
      <c r="C42" s="126">
        <v>-2500.0</v>
      </c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O42" s="44">
        <f t="shared" si="8"/>
        <v>-2500</v>
      </c>
    </row>
    <row r="43">
      <c r="A43" s="26" t="s">
        <v>112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2"/>
      <c r="O43" s="48"/>
    </row>
    <row r="44">
      <c r="A44" s="35" t="s">
        <v>113</v>
      </c>
      <c r="B44" s="98">
        <v>0.0</v>
      </c>
      <c r="C44" s="98">
        <v>0.0</v>
      </c>
      <c r="D44" s="98">
        <v>0.0</v>
      </c>
      <c r="E44" s="98"/>
      <c r="F44" s="98">
        <v>-2500.0</v>
      </c>
      <c r="G44" s="98">
        <v>-4000.0</v>
      </c>
      <c r="H44" s="98">
        <v>-4000.0</v>
      </c>
      <c r="I44" s="98">
        <v>-4000.0</v>
      </c>
      <c r="J44" s="98">
        <v>-4000.0</v>
      </c>
      <c r="K44" s="98">
        <v>-4000.0</v>
      </c>
      <c r="L44" s="98">
        <v>-4000.0</v>
      </c>
      <c r="M44" s="98">
        <v>-4000.0</v>
      </c>
      <c r="O44" s="44">
        <f t="shared" ref="O44:O47" si="9">SUM(B44:M44)</f>
        <v>-30500</v>
      </c>
    </row>
    <row r="45">
      <c r="A45" s="35" t="s">
        <v>116</v>
      </c>
      <c r="B45" s="98">
        <v>0.0</v>
      </c>
      <c r="C45" s="98">
        <v>0.0</v>
      </c>
      <c r="D45" s="98">
        <v>0.0</v>
      </c>
      <c r="E45" s="98">
        <v>0.0</v>
      </c>
      <c r="F45" s="98">
        <v>0.0</v>
      </c>
      <c r="G45" s="98">
        <v>0.0</v>
      </c>
      <c r="H45" s="98">
        <v>0.0</v>
      </c>
      <c r="I45" s="98">
        <v>0.0</v>
      </c>
      <c r="J45" s="98">
        <v>0.0</v>
      </c>
      <c r="K45" s="98">
        <v>0.0</v>
      </c>
      <c r="L45" s="98">
        <v>0.0</v>
      </c>
      <c r="M45" s="98">
        <v>0.0</v>
      </c>
      <c r="O45" s="44">
        <f t="shared" si="9"/>
        <v>0</v>
      </c>
    </row>
    <row r="46">
      <c r="A46" s="35" t="s">
        <v>117</v>
      </c>
      <c r="B46" s="98">
        <v>0.0</v>
      </c>
      <c r="C46" s="98">
        <v>0.0</v>
      </c>
      <c r="D46" s="98">
        <v>0.0</v>
      </c>
      <c r="E46" s="98">
        <v>0.0</v>
      </c>
      <c r="F46" s="98">
        <v>0.0</v>
      </c>
      <c r="G46" s="98">
        <v>0.0</v>
      </c>
      <c r="H46" s="98">
        <v>0.0</v>
      </c>
      <c r="I46" s="98">
        <v>0.0</v>
      </c>
      <c r="J46" s="98">
        <v>0.0</v>
      </c>
      <c r="K46" s="98">
        <v>0.0</v>
      </c>
      <c r="L46" s="98">
        <v>0.0</v>
      </c>
      <c r="M46" s="98">
        <v>0.0</v>
      </c>
      <c r="O46" s="44">
        <f t="shared" si="9"/>
        <v>0</v>
      </c>
    </row>
    <row r="47">
      <c r="A47" s="35" t="s">
        <v>119</v>
      </c>
      <c r="B47" s="98">
        <v>0.0</v>
      </c>
      <c r="C47" s="98">
        <v>0.0</v>
      </c>
      <c r="D47" s="98">
        <v>0.0</v>
      </c>
      <c r="E47" s="98">
        <v>0.0</v>
      </c>
      <c r="F47" s="98">
        <v>0.0</v>
      </c>
      <c r="G47" s="98">
        <v>0.0</v>
      </c>
      <c r="H47" s="98">
        <v>0.0</v>
      </c>
      <c r="I47" s="98">
        <v>0.0</v>
      </c>
      <c r="J47" s="98">
        <v>0.0</v>
      </c>
      <c r="K47" s="98">
        <v>0.0</v>
      </c>
      <c r="L47" s="98">
        <v>0.0</v>
      </c>
      <c r="M47" s="98">
        <v>0.0</v>
      </c>
      <c r="O47" s="44">
        <f t="shared" si="9"/>
        <v>0</v>
      </c>
    </row>
    <row r="48">
      <c r="A48" s="26" t="s">
        <v>120</v>
      </c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2"/>
      <c r="O48" s="48"/>
    </row>
    <row r="49">
      <c r="A49" s="35" t="s">
        <v>122</v>
      </c>
      <c r="B49" s="98">
        <v>-100.0</v>
      </c>
      <c r="C49" s="98">
        <v>-100.0</v>
      </c>
      <c r="D49" s="98">
        <v>-100.0</v>
      </c>
      <c r="E49" s="98">
        <v>-100.0</v>
      </c>
      <c r="F49" s="98">
        <v>-100.0</v>
      </c>
      <c r="G49" s="98">
        <v>-100.0</v>
      </c>
      <c r="H49" s="98">
        <v>-100.0</v>
      </c>
      <c r="I49" s="98">
        <v>-100.0</v>
      </c>
      <c r="J49" s="98">
        <v>-100.0</v>
      </c>
      <c r="K49" s="98">
        <v>-100.0</v>
      </c>
      <c r="L49" s="98">
        <v>-100.0</v>
      </c>
      <c r="M49" s="109">
        <v>-100.0</v>
      </c>
      <c r="O49" s="44">
        <f t="shared" ref="O49:O56" si="10">SUM(B49:M49)</f>
        <v>-1200</v>
      </c>
    </row>
    <row r="50">
      <c r="A50" s="35" t="s">
        <v>123</v>
      </c>
      <c r="B50" s="98"/>
      <c r="C50" s="98"/>
      <c r="D50" s="98"/>
      <c r="E50" s="98"/>
      <c r="F50" s="98">
        <v>-1000.0</v>
      </c>
      <c r="G50" s="98">
        <v>-1000.0</v>
      </c>
      <c r="H50" s="98">
        <v>-1000.0</v>
      </c>
      <c r="I50" s="98">
        <v>-1000.0</v>
      </c>
      <c r="J50" s="98">
        <v>-1000.0</v>
      </c>
      <c r="K50" s="98">
        <v>-1000.0</v>
      </c>
      <c r="L50" s="98">
        <v>-1000.0</v>
      </c>
      <c r="M50" s="98">
        <v>-1000.0</v>
      </c>
      <c r="O50" s="44">
        <f t="shared" si="10"/>
        <v>-8000</v>
      </c>
    </row>
    <row r="51">
      <c r="A51" s="35" t="s">
        <v>125</v>
      </c>
      <c r="B51" s="98"/>
      <c r="C51" s="98"/>
      <c r="D51" s="98"/>
      <c r="E51" s="98"/>
      <c r="F51" s="98">
        <v>-800.0</v>
      </c>
      <c r="G51" s="98">
        <v>-800.0</v>
      </c>
      <c r="H51" s="98">
        <v>-800.0</v>
      </c>
      <c r="I51" s="98">
        <v>-800.0</v>
      </c>
      <c r="J51" s="98">
        <v>-800.0</v>
      </c>
      <c r="K51" s="98">
        <v>-800.0</v>
      </c>
      <c r="L51" s="98">
        <v>-800.0</v>
      </c>
      <c r="M51" s="98">
        <v>-800.0</v>
      </c>
      <c r="O51" s="44">
        <f t="shared" si="10"/>
        <v>-6400</v>
      </c>
    </row>
    <row r="52">
      <c r="A52" s="35" t="s">
        <v>130</v>
      </c>
      <c r="B52" s="98">
        <v>0.0</v>
      </c>
      <c r="C52" s="98">
        <v>0.0</v>
      </c>
      <c r="D52" s="98">
        <v>0.0</v>
      </c>
      <c r="E52" s="98"/>
      <c r="F52" s="98">
        <v>-560.0</v>
      </c>
      <c r="G52" s="98">
        <v>-560.0</v>
      </c>
      <c r="H52" s="98">
        <v>-560.0</v>
      </c>
      <c r="I52" s="98">
        <v>-560.0</v>
      </c>
      <c r="J52" s="98">
        <v>-560.0</v>
      </c>
      <c r="K52" s="98">
        <v>-560.0</v>
      </c>
      <c r="L52" s="98">
        <v>-560.0</v>
      </c>
      <c r="M52" s="98">
        <v>-560.0</v>
      </c>
      <c r="O52" s="44">
        <f t="shared" si="10"/>
        <v>-4480</v>
      </c>
    </row>
    <row r="53">
      <c r="A53" s="35" t="s">
        <v>133</v>
      </c>
      <c r="B53" s="98">
        <v>-7000.0</v>
      </c>
      <c r="C53" s="98">
        <v>-5000.0</v>
      </c>
      <c r="D53" s="98">
        <v>0.0</v>
      </c>
      <c r="E53" s="98">
        <v>0.0</v>
      </c>
      <c r="F53" s="98">
        <v>0.0</v>
      </c>
      <c r="G53" s="98">
        <v>0.0</v>
      </c>
      <c r="H53" s="98">
        <v>0.0</v>
      </c>
      <c r="I53" s="98">
        <v>0.0</v>
      </c>
      <c r="J53" s="98">
        <v>0.0</v>
      </c>
      <c r="K53" s="98">
        <v>0.0</v>
      </c>
      <c r="L53" s="98">
        <v>0.0</v>
      </c>
      <c r="M53" s="98">
        <v>0.0</v>
      </c>
      <c r="O53" s="44">
        <f t="shared" si="10"/>
        <v>-12000</v>
      </c>
    </row>
    <row r="54">
      <c r="A54" s="35" t="s">
        <v>134</v>
      </c>
      <c r="B54" s="98"/>
      <c r="C54" s="98">
        <v>-10000.0</v>
      </c>
      <c r="D54" s="98">
        <v>0.0</v>
      </c>
      <c r="E54" s="98">
        <v>0.0</v>
      </c>
      <c r="F54" s="98"/>
      <c r="G54" s="98">
        <v>0.0</v>
      </c>
      <c r="H54" s="98">
        <v>-2140.0</v>
      </c>
      <c r="I54" s="98">
        <v>-2140.0</v>
      </c>
      <c r="J54" s="98">
        <v>-2140.0</v>
      </c>
      <c r="K54" s="98">
        <v>-2140.0</v>
      </c>
      <c r="L54" s="98">
        <v>-2140.0</v>
      </c>
      <c r="M54" s="98">
        <v>-9600.0</v>
      </c>
      <c r="O54" s="44">
        <f t="shared" si="10"/>
        <v>-30300</v>
      </c>
    </row>
    <row r="55">
      <c r="A55" s="56" t="s">
        <v>136</v>
      </c>
      <c r="B55" s="142">
        <f t="shared" ref="B55:M55" si="11">SUM(B22:B54)*5%</f>
        <v>-7018.35</v>
      </c>
      <c r="C55" s="142">
        <f t="shared" si="11"/>
        <v>-2758.55</v>
      </c>
      <c r="D55" s="142">
        <f t="shared" si="11"/>
        <v>-1139.1</v>
      </c>
      <c r="E55" s="142">
        <f t="shared" si="11"/>
        <v>-4501.09</v>
      </c>
      <c r="F55" s="142">
        <f t="shared" si="11"/>
        <v>-5946.95</v>
      </c>
      <c r="G55" s="142">
        <f t="shared" si="11"/>
        <v>-4347.2</v>
      </c>
      <c r="H55" s="142">
        <f t="shared" si="11"/>
        <v>-3854.2</v>
      </c>
      <c r="I55" s="142">
        <f t="shared" si="11"/>
        <v>-6254.2</v>
      </c>
      <c r="J55" s="142">
        <f t="shared" si="11"/>
        <v>-6834.2</v>
      </c>
      <c r="K55" s="142">
        <f t="shared" si="11"/>
        <v>-7114.2</v>
      </c>
      <c r="L55" s="142">
        <f t="shared" si="11"/>
        <v>-7094.2</v>
      </c>
      <c r="M55" s="145">
        <f t="shared" si="11"/>
        <v>-7467.2</v>
      </c>
      <c r="O55" s="63">
        <f t="shared" si="10"/>
        <v>-64329.44</v>
      </c>
    </row>
    <row r="56">
      <c r="A56" s="146" t="s">
        <v>138</v>
      </c>
      <c r="B56" s="147">
        <f t="shared" ref="B56:M56" si="12">SUM(B13:B55)</f>
        <v>-237385.35</v>
      </c>
      <c r="C56" s="147">
        <f t="shared" si="12"/>
        <v>-123929.55</v>
      </c>
      <c r="D56" s="147">
        <f t="shared" si="12"/>
        <v>-61236.7</v>
      </c>
      <c r="E56" s="147">
        <f t="shared" si="12"/>
        <v>156270.91</v>
      </c>
      <c r="F56" s="147">
        <f t="shared" si="12"/>
        <v>152507.85</v>
      </c>
      <c r="G56" s="147">
        <f t="shared" si="12"/>
        <v>-8897.4</v>
      </c>
      <c r="H56" s="147">
        <f t="shared" si="12"/>
        <v>-78544.4</v>
      </c>
      <c r="I56" s="147">
        <f t="shared" si="12"/>
        <v>163626.8</v>
      </c>
      <c r="J56" s="147">
        <f t="shared" si="12"/>
        <v>145446.8</v>
      </c>
      <c r="K56" s="147">
        <f t="shared" si="12"/>
        <v>99566.8</v>
      </c>
      <c r="L56" s="147">
        <f t="shared" si="12"/>
        <v>19986.8</v>
      </c>
      <c r="M56" s="147">
        <f t="shared" si="12"/>
        <v>12153.8</v>
      </c>
      <c r="O56" s="149">
        <f t="shared" si="10"/>
        <v>239566.36</v>
      </c>
    </row>
    <row r="57">
      <c r="A57" s="151" t="s">
        <v>139</v>
      </c>
      <c r="B57" s="153" t="str">
        <f t="shared" ref="B57:M57" si="13">B56/SUM(B6:B7)</f>
        <v>#DIV/0!</v>
      </c>
      <c r="C57" s="153" t="str">
        <f t="shared" si="13"/>
        <v>#DIV/0!</v>
      </c>
      <c r="D57" s="153">
        <f t="shared" si="13"/>
        <v>-6.12367</v>
      </c>
      <c r="E57" s="153">
        <f t="shared" si="13"/>
        <v>0.6010419615</v>
      </c>
      <c r="F57" s="153">
        <f t="shared" si="13"/>
        <v>0.5083595</v>
      </c>
      <c r="G57" s="153">
        <f t="shared" si="13"/>
        <v>-0.088974</v>
      </c>
      <c r="H57" s="153">
        <f t="shared" si="13"/>
        <v>-3.92722</v>
      </c>
      <c r="I57" s="153">
        <f t="shared" si="13"/>
        <v>0.4812552941</v>
      </c>
      <c r="J57" s="153">
        <f t="shared" si="13"/>
        <v>0.4277847059</v>
      </c>
      <c r="K57" s="153">
        <f t="shared" si="13"/>
        <v>0.3318893333</v>
      </c>
      <c r="L57" s="153">
        <f t="shared" si="13"/>
        <v>0.09084909091</v>
      </c>
      <c r="M57" s="153">
        <f t="shared" si="13"/>
        <v>0.05524454545</v>
      </c>
      <c r="O57" s="153">
        <f>O56/SUM(O6:O7)</f>
        <v>0.1135385592</v>
      </c>
    </row>
    <row r="58"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</row>
    <row r="59"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</row>
    <row r="60"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</row>
  </sheetData>
  <conditionalFormatting sqref="B56:M56 O56">
    <cfRule type="cellIs" dxfId="0" priority="1" operator="greaterThanOrEqual">
      <formula>0</formula>
    </cfRule>
  </conditionalFormatting>
  <conditionalFormatting sqref="B56:M56 O56">
    <cfRule type="cellIs" dxfId="1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2.88"/>
    <col customWidth="1" min="3" max="3" width="13.63"/>
    <col customWidth="1" min="9" max="9" width="13.38"/>
    <col customWidth="1" min="10" max="10" width="16.38"/>
    <col customWidth="1" min="11" max="11" width="14.0"/>
    <col customWidth="1" min="12" max="12" width="15.88"/>
    <col customWidth="1" min="13" max="13" width="15.75"/>
  </cols>
  <sheetData>
    <row r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7" t="s">
        <v>1</v>
      </c>
      <c r="B3" s="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11" t="s">
        <v>2</v>
      </c>
      <c r="B4" s="13" t="s">
        <v>4</v>
      </c>
      <c r="C4" s="14"/>
      <c r="D4" s="8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11" t="s">
        <v>5</v>
      </c>
      <c r="B5" s="15" t="s">
        <v>6</v>
      </c>
      <c r="C5" s="1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A6" s="11" t="s">
        <v>7</v>
      </c>
      <c r="B6" s="15">
        <v>2026.0</v>
      </c>
      <c r="C6" s="1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11" t="s">
        <v>8</v>
      </c>
      <c r="B7" s="19">
        <v>0.25</v>
      </c>
      <c r="C7" s="22">
        <f>B7+1</f>
        <v>1.25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>
      <c r="A8" s="11" t="s">
        <v>9</v>
      </c>
      <c r="B8" s="19">
        <v>0.16</v>
      </c>
      <c r="C8" s="1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>
      <c r="A10" s="30" t="s">
        <v>12</v>
      </c>
      <c r="B10" s="33" t="s">
        <v>13</v>
      </c>
      <c r="C10" s="33" t="s">
        <v>16</v>
      </c>
      <c r="D10" s="33" t="s">
        <v>17</v>
      </c>
      <c r="E10" s="33" t="s">
        <v>19</v>
      </c>
      <c r="F10" s="33" t="s">
        <v>20</v>
      </c>
      <c r="G10" s="33" t="s">
        <v>21</v>
      </c>
      <c r="H10" s="33" t="s">
        <v>22</v>
      </c>
      <c r="I10" s="33" t="s">
        <v>23</v>
      </c>
      <c r="J10" s="33" t="s">
        <v>24</v>
      </c>
      <c r="K10" s="33" t="s">
        <v>25</v>
      </c>
      <c r="L10" s="33" t="s">
        <v>26</v>
      </c>
      <c r="M10" s="33" t="s">
        <v>27</v>
      </c>
      <c r="N10" s="38" t="s">
        <v>28</v>
      </c>
      <c r="O10" s="6"/>
    </row>
    <row r="11">
      <c r="A11" s="39" t="s">
        <v>40</v>
      </c>
      <c r="B11" s="42">
        <f t="shared" ref="B11:M11" si="1">DAY(EOMONTH(B$10,0))</f>
        <v>31</v>
      </c>
      <c r="C11" s="42">
        <f t="shared" si="1"/>
        <v>28</v>
      </c>
      <c r="D11" s="42">
        <f t="shared" si="1"/>
        <v>31</v>
      </c>
      <c r="E11" s="42">
        <f t="shared" si="1"/>
        <v>30</v>
      </c>
      <c r="F11" s="42">
        <f t="shared" si="1"/>
        <v>31</v>
      </c>
      <c r="G11" s="42">
        <f t="shared" si="1"/>
        <v>30</v>
      </c>
      <c r="H11" s="42">
        <f t="shared" si="1"/>
        <v>31</v>
      </c>
      <c r="I11" s="42">
        <f t="shared" si="1"/>
        <v>31</v>
      </c>
      <c r="J11" s="42">
        <f t="shared" si="1"/>
        <v>30</v>
      </c>
      <c r="K11" s="42">
        <f t="shared" si="1"/>
        <v>31</v>
      </c>
      <c r="L11" s="42">
        <f t="shared" si="1"/>
        <v>30</v>
      </c>
      <c r="M11" s="46">
        <f t="shared" si="1"/>
        <v>31</v>
      </c>
      <c r="N11" s="47"/>
      <c r="O11" s="6"/>
    </row>
    <row r="12">
      <c r="A12" s="49" t="s">
        <v>11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47"/>
      <c r="O12" s="6"/>
    </row>
    <row r="13">
      <c r="A13" s="39" t="s">
        <v>46</v>
      </c>
      <c r="B13" s="52">
        <f t="shared" ref="B13:M13" si="2">($D$53+$D$45)/12</f>
        <v>40.25</v>
      </c>
      <c r="C13" s="52">
        <f t="shared" si="2"/>
        <v>40.25</v>
      </c>
      <c r="D13" s="52">
        <f t="shared" si="2"/>
        <v>40.25</v>
      </c>
      <c r="E13" s="52">
        <f t="shared" si="2"/>
        <v>40.25</v>
      </c>
      <c r="F13" s="52">
        <f t="shared" si="2"/>
        <v>40.25</v>
      </c>
      <c r="G13" s="52">
        <f t="shared" si="2"/>
        <v>40.25</v>
      </c>
      <c r="H13" s="52">
        <f t="shared" si="2"/>
        <v>40.25</v>
      </c>
      <c r="I13" s="52">
        <f t="shared" si="2"/>
        <v>40.25</v>
      </c>
      <c r="J13" s="52">
        <f t="shared" si="2"/>
        <v>40.25</v>
      </c>
      <c r="K13" s="52">
        <f t="shared" si="2"/>
        <v>40.25</v>
      </c>
      <c r="L13" s="52">
        <f t="shared" si="2"/>
        <v>40.25</v>
      </c>
      <c r="M13" s="52">
        <f t="shared" si="2"/>
        <v>40.25</v>
      </c>
      <c r="N13" s="54">
        <f>SUM(B13:M13)</f>
        <v>483</v>
      </c>
      <c r="O13" s="6"/>
    </row>
    <row r="14">
      <c r="A14" s="39" t="s">
        <v>49</v>
      </c>
      <c r="B14" s="60">
        <v>1.0</v>
      </c>
      <c r="C14" s="60">
        <v>1.0</v>
      </c>
      <c r="D14" s="60">
        <v>1.0</v>
      </c>
      <c r="E14" s="60">
        <v>1.0</v>
      </c>
      <c r="F14" s="60">
        <v>1.0</v>
      </c>
      <c r="G14" s="60">
        <v>1.0</v>
      </c>
      <c r="H14" s="60">
        <v>1.0</v>
      </c>
      <c r="I14" s="60">
        <v>1.0</v>
      </c>
      <c r="J14" s="60">
        <v>1.0</v>
      </c>
      <c r="K14" s="60">
        <v>1.0</v>
      </c>
      <c r="L14" s="60">
        <v>1.0</v>
      </c>
      <c r="M14" s="62">
        <v>1.0</v>
      </c>
      <c r="N14" s="47"/>
      <c r="O14" s="6"/>
    </row>
    <row r="15">
      <c r="A15" s="39" t="s">
        <v>51</v>
      </c>
      <c r="B15" s="66">
        <f t="shared" ref="B15:M15" si="3">SUM($C$54)</f>
        <v>24987.5</v>
      </c>
      <c r="C15" s="66">
        <f t="shared" si="3"/>
        <v>24987.5</v>
      </c>
      <c r="D15" s="66">
        <f t="shared" si="3"/>
        <v>24987.5</v>
      </c>
      <c r="E15" s="66">
        <f t="shared" si="3"/>
        <v>24987.5</v>
      </c>
      <c r="F15" s="66">
        <f t="shared" si="3"/>
        <v>24987.5</v>
      </c>
      <c r="G15" s="66">
        <f t="shared" si="3"/>
        <v>24987.5</v>
      </c>
      <c r="H15" s="66">
        <f t="shared" si="3"/>
        <v>24987.5</v>
      </c>
      <c r="I15" s="66">
        <f t="shared" si="3"/>
        <v>24987.5</v>
      </c>
      <c r="J15" s="66">
        <f t="shared" si="3"/>
        <v>24987.5</v>
      </c>
      <c r="K15" s="66">
        <f t="shared" si="3"/>
        <v>24987.5</v>
      </c>
      <c r="L15" s="66">
        <f t="shared" si="3"/>
        <v>24987.5</v>
      </c>
      <c r="M15" s="66">
        <f t="shared" si="3"/>
        <v>24987.5</v>
      </c>
      <c r="N15" s="47"/>
      <c r="O15" s="6"/>
    </row>
    <row r="16">
      <c r="A16" s="39" t="s">
        <v>54</v>
      </c>
      <c r="B16" s="70">
        <v>1.0</v>
      </c>
      <c r="C16" s="70">
        <v>1.0</v>
      </c>
      <c r="D16" s="70">
        <v>1.0</v>
      </c>
      <c r="E16" s="70">
        <v>1.0</v>
      </c>
      <c r="F16" s="70">
        <v>1.0</v>
      </c>
      <c r="G16" s="70">
        <v>1.0</v>
      </c>
      <c r="H16" s="70">
        <v>1.0</v>
      </c>
      <c r="I16" s="70">
        <v>1.0</v>
      </c>
      <c r="J16" s="70">
        <v>1.0</v>
      </c>
      <c r="K16" s="70">
        <v>1.0</v>
      </c>
      <c r="L16" s="70">
        <v>1.0</v>
      </c>
      <c r="M16" s="72">
        <v>1.0</v>
      </c>
      <c r="N16" s="47"/>
      <c r="O16" s="6"/>
    </row>
    <row r="17">
      <c r="A17" s="39" t="s">
        <v>57</v>
      </c>
      <c r="B17" s="74">
        <v>0.0</v>
      </c>
      <c r="C17" s="74">
        <v>0.0</v>
      </c>
      <c r="D17" s="74">
        <v>0.0</v>
      </c>
      <c r="E17" s="74">
        <v>0.0</v>
      </c>
      <c r="F17" s="74">
        <v>0.0</v>
      </c>
      <c r="G17" s="74">
        <v>0.0</v>
      </c>
      <c r="H17" s="74">
        <v>0.0</v>
      </c>
      <c r="I17" s="74">
        <v>0.0</v>
      </c>
      <c r="J17" s="74">
        <v>0.0</v>
      </c>
      <c r="K17" s="74">
        <v>0.0</v>
      </c>
      <c r="L17" s="74">
        <v>0.0</v>
      </c>
      <c r="M17" s="79">
        <v>0.0</v>
      </c>
      <c r="N17" s="47"/>
      <c r="O17" s="6"/>
    </row>
    <row r="18">
      <c r="A18" s="39" t="s">
        <v>63</v>
      </c>
      <c r="B18" s="70">
        <v>0.0</v>
      </c>
      <c r="C18" s="70">
        <v>0.0</v>
      </c>
      <c r="D18" s="70">
        <v>0.0</v>
      </c>
      <c r="E18" s="70">
        <v>0.0</v>
      </c>
      <c r="F18" s="70">
        <v>0.0</v>
      </c>
      <c r="G18" s="70">
        <v>0.0</v>
      </c>
      <c r="H18" s="70">
        <v>0.0</v>
      </c>
      <c r="I18" s="70">
        <v>0.0</v>
      </c>
      <c r="J18" s="70">
        <v>0.0</v>
      </c>
      <c r="K18" s="70">
        <v>0.0</v>
      </c>
      <c r="L18" s="70">
        <v>0.0</v>
      </c>
      <c r="M18" s="72">
        <v>0.0</v>
      </c>
      <c r="N18" s="47"/>
      <c r="O18" s="6"/>
    </row>
    <row r="19">
      <c r="A19" s="82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1"/>
      <c r="N19" s="47"/>
      <c r="O19" s="6"/>
    </row>
    <row r="20">
      <c r="A20" s="49" t="s">
        <v>60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1"/>
      <c r="N20" s="47"/>
      <c r="O20" s="6"/>
    </row>
    <row r="21">
      <c r="A21" s="39" t="s">
        <v>61</v>
      </c>
      <c r="B21" s="85">
        <v>40000.0</v>
      </c>
      <c r="C21" s="85">
        <v>40000.0</v>
      </c>
      <c r="D21" s="85">
        <v>40000.0</v>
      </c>
      <c r="E21" s="85">
        <v>40000.0</v>
      </c>
      <c r="F21" s="85">
        <v>40000.0</v>
      </c>
      <c r="G21" s="85">
        <v>40000.0</v>
      </c>
      <c r="H21" s="85">
        <v>40000.0</v>
      </c>
      <c r="I21" s="85">
        <v>40000.0</v>
      </c>
      <c r="J21" s="85">
        <v>40000.0</v>
      </c>
      <c r="K21" s="85">
        <v>40000.0</v>
      </c>
      <c r="L21" s="85">
        <v>40000.0</v>
      </c>
      <c r="M21" s="85">
        <v>40000.0</v>
      </c>
      <c r="N21" s="47">
        <f t="shared" ref="N21:N22" si="4">SUM(B21:M21)</f>
        <v>480000</v>
      </c>
      <c r="O21" s="6"/>
    </row>
    <row r="22">
      <c r="A22" s="39" t="s">
        <v>62</v>
      </c>
      <c r="B22" s="74">
        <v>20000.0</v>
      </c>
      <c r="C22" s="74">
        <v>20000.0</v>
      </c>
      <c r="D22" s="74">
        <v>20000.0</v>
      </c>
      <c r="E22" s="74">
        <v>20000.0</v>
      </c>
      <c r="F22" s="74">
        <v>20000.0</v>
      </c>
      <c r="G22" s="74">
        <v>20000.0</v>
      </c>
      <c r="H22" s="74">
        <v>20000.0</v>
      </c>
      <c r="I22" s="74">
        <v>20000.0</v>
      </c>
      <c r="J22" s="74">
        <v>20000.0</v>
      </c>
      <c r="K22" s="74">
        <v>20000.0</v>
      </c>
      <c r="L22" s="74">
        <v>20000.0</v>
      </c>
      <c r="M22" s="74">
        <v>20000.0</v>
      </c>
      <c r="N22" s="47">
        <f t="shared" si="4"/>
        <v>240000</v>
      </c>
      <c r="O22" s="6"/>
    </row>
    <row r="23">
      <c r="A23" s="39" t="s">
        <v>66</v>
      </c>
      <c r="B23" s="85">
        <f t="shared" ref="B23:M23" si="5">B21/B24</f>
        <v>993.7888199</v>
      </c>
      <c r="C23" s="85">
        <f t="shared" si="5"/>
        <v>993.7888199</v>
      </c>
      <c r="D23" s="85">
        <f t="shared" si="5"/>
        <v>993.7888199</v>
      </c>
      <c r="E23" s="85">
        <f t="shared" si="5"/>
        <v>993.7888199</v>
      </c>
      <c r="F23" s="85">
        <f t="shared" si="5"/>
        <v>993.7888199</v>
      </c>
      <c r="G23" s="85">
        <f t="shared" si="5"/>
        <v>993.7888199</v>
      </c>
      <c r="H23" s="85">
        <f t="shared" si="5"/>
        <v>993.7888199</v>
      </c>
      <c r="I23" s="85">
        <f t="shared" si="5"/>
        <v>993.7888199</v>
      </c>
      <c r="J23" s="85">
        <f t="shared" si="5"/>
        <v>993.7888199</v>
      </c>
      <c r="K23" s="85">
        <f t="shared" si="5"/>
        <v>993.7888199</v>
      </c>
      <c r="L23" s="85">
        <f t="shared" si="5"/>
        <v>993.7888199</v>
      </c>
      <c r="M23" s="85">
        <f t="shared" si="5"/>
        <v>993.7888199</v>
      </c>
      <c r="N23" s="47">
        <f>SUM(B23:M23)/12</f>
        <v>993.7888199</v>
      </c>
      <c r="O23" s="6"/>
    </row>
    <row r="24">
      <c r="A24" s="39" t="s">
        <v>69</v>
      </c>
      <c r="B24" s="52">
        <f t="shared" ref="B24:M24" si="6">B13</f>
        <v>40.25</v>
      </c>
      <c r="C24" s="52">
        <f t="shared" si="6"/>
        <v>40.25</v>
      </c>
      <c r="D24" s="52">
        <f t="shared" si="6"/>
        <v>40.25</v>
      </c>
      <c r="E24" s="52">
        <f t="shared" si="6"/>
        <v>40.25</v>
      </c>
      <c r="F24" s="52">
        <f t="shared" si="6"/>
        <v>40.25</v>
      </c>
      <c r="G24" s="52">
        <f t="shared" si="6"/>
        <v>40.25</v>
      </c>
      <c r="H24" s="52">
        <f t="shared" si="6"/>
        <v>40.25</v>
      </c>
      <c r="I24" s="52">
        <f t="shared" si="6"/>
        <v>40.25</v>
      </c>
      <c r="J24" s="52">
        <f t="shared" si="6"/>
        <v>40.25</v>
      </c>
      <c r="K24" s="52">
        <f t="shared" si="6"/>
        <v>40.25</v>
      </c>
      <c r="L24" s="52">
        <f t="shared" si="6"/>
        <v>40.25</v>
      </c>
      <c r="M24" s="52">
        <f t="shared" si="6"/>
        <v>40.25</v>
      </c>
      <c r="N24" s="54">
        <f>SUM(B24:M24)</f>
        <v>483</v>
      </c>
      <c r="O24" s="6"/>
    </row>
    <row r="25">
      <c r="A25" s="39" t="s">
        <v>73</v>
      </c>
      <c r="B25" s="70">
        <f t="shared" ref="B25:M25" si="7">B24/B13</f>
        <v>1</v>
      </c>
      <c r="C25" s="70">
        <f t="shared" si="7"/>
        <v>1</v>
      </c>
      <c r="D25" s="70">
        <f t="shared" si="7"/>
        <v>1</v>
      </c>
      <c r="E25" s="70">
        <f t="shared" si="7"/>
        <v>1</v>
      </c>
      <c r="F25" s="70">
        <f t="shared" si="7"/>
        <v>1</v>
      </c>
      <c r="G25" s="70">
        <f t="shared" si="7"/>
        <v>1</v>
      </c>
      <c r="H25" s="70">
        <f t="shared" si="7"/>
        <v>1</v>
      </c>
      <c r="I25" s="70">
        <f t="shared" si="7"/>
        <v>1</v>
      </c>
      <c r="J25" s="70">
        <f t="shared" si="7"/>
        <v>1</v>
      </c>
      <c r="K25" s="70">
        <f t="shared" si="7"/>
        <v>1</v>
      </c>
      <c r="L25" s="70">
        <f t="shared" si="7"/>
        <v>1</v>
      </c>
      <c r="M25" s="72">
        <f t="shared" si="7"/>
        <v>1</v>
      </c>
      <c r="N25" s="47"/>
      <c r="O25" s="6"/>
    </row>
    <row r="26">
      <c r="A26" s="39" t="s">
        <v>74</v>
      </c>
      <c r="B26" s="70">
        <f t="shared" ref="B26:M26" si="8">1-B25</f>
        <v>0</v>
      </c>
      <c r="C26" s="70">
        <f t="shared" si="8"/>
        <v>0</v>
      </c>
      <c r="D26" s="70">
        <f t="shared" si="8"/>
        <v>0</v>
      </c>
      <c r="E26" s="70">
        <f t="shared" si="8"/>
        <v>0</v>
      </c>
      <c r="F26" s="70">
        <f t="shared" si="8"/>
        <v>0</v>
      </c>
      <c r="G26" s="70">
        <f t="shared" si="8"/>
        <v>0</v>
      </c>
      <c r="H26" s="70">
        <f t="shared" si="8"/>
        <v>0</v>
      </c>
      <c r="I26" s="70">
        <f t="shared" si="8"/>
        <v>0</v>
      </c>
      <c r="J26" s="70">
        <f t="shared" si="8"/>
        <v>0</v>
      </c>
      <c r="K26" s="70">
        <f t="shared" si="8"/>
        <v>0</v>
      </c>
      <c r="L26" s="70">
        <f t="shared" si="8"/>
        <v>0</v>
      </c>
      <c r="M26" s="72">
        <f t="shared" si="8"/>
        <v>0</v>
      </c>
      <c r="N26" s="47"/>
      <c r="O26" s="6"/>
    </row>
    <row r="27">
      <c r="A27" s="93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1"/>
      <c r="N27" s="47"/>
      <c r="O27" s="6"/>
    </row>
    <row r="28">
      <c r="A28" s="49" t="s">
        <v>64</v>
      </c>
      <c r="B28" s="50"/>
      <c r="C28" s="50"/>
      <c r="D28" s="50"/>
      <c r="E28" s="95"/>
      <c r="F28" s="50"/>
      <c r="G28" s="50"/>
      <c r="H28" s="50"/>
      <c r="I28" s="50"/>
      <c r="J28" s="50"/>
      <c r="K28" s="50"/>
      <c r="L28" s="50"/>
      <c r="M28" s="51"/>
      <c r="N28" s="47"/>
      <c r="O28" s="6"/>
    </row>
    <row r="29">
      <c r="A29" s="39" t="s">
        <v>65</v>
      </c>
      <c r="B29" s="66">
        <v>0.0</v>
      </c>
      <c r="C29" s="66">
        <v>0.0</v>
      </c>
      <c r="D29" s="66">
        <v>0.0</v>
      </c>
      <c r="E29" s="66">
        <v>0.0</v>
      </c>
      <c r="F29" s="66">
        <v>0.0</v>
      </c>
      <c r="G29" s="66">
        <v>0.0</v>
      </c>
      <c r="H29" s="66">
        <v>0.0</v>
      </c>
      <c r="I29" s="66">
        <v>0.0</v>
      </c>
      <c r="J29" s="66">
        <v>0.0</v>
      </c>
      <c r="K29" s="66">
        <v>0.0</v>
      </c>
      <c r="L29" s="66">
        <v>0.0</v>
      </c>
      <c r="M29" s="96">
        <v>0.0</v>
      </c>
      <c r="N29" s="47"/>
      <c r="O29" s="6"/>
    </row>
    <row r="30">
      <c r="A30" s="39" t="s">
        <v>67</v>
      </c>
      <c r="B30" s="66">
        <v>0.0</v>
      </c>
      <c r="C30" s="66">
        <v>0.0</v>
      </c>
      <c r="D30" s="66">
        <v>0.0</v>
      </c>
      <c r="E30" s="66">
        <v>0.0</v>
      </c>
      <c r="F30" s="66">
        <v>0.0</v>
      </c>
      <c r="G30" s="66">
        <v>0.0</v>
      </c>
      <c r="H30" s="66">
        <v>0.0</v>
      </c>
      <c r="I30" s="66">
        <v>0.0</v>
      </c>
      <c r="J30" s="66">
        <v>0.0</v>
      </c>
      <c r="K30" s="66">
        <v>0.0</v>
      </c>
      <c r="L30" s="66">
        <v>0.0</v>
      </c>
      <c r="M30" s="96">
        <v>0.0</v>
      </c>
      <c r="N30" s="47"/>
      <c r="O30" s="6"/>
    </row>
    <row r="31">
      <c r="A31" s="39" t="s">
        <v>68</v>
      </c>
      <c r="B31" s="66">
        <v>0.0</v>
      </c>
      <c r="C31" s="66">
        <v>0.0</v>
      </c>
      <c r="D31" s="66">
        <v>0.0</v>
      </c>
      <c r="E31" s="66">
        <v>0.0</v>
      </c>
      <c r="F31" s="66">
        <v>0.0</v>
      </c>
      <c r="G31" s="66">
        <v>0.0</v>
      </c>
      <c r="H31" s="66">
        <v>0.0</v>
      </c>
      <c r="I31" s="66">
        <v>0.0</v>
      </c>
      <c r="J31" s="66">
        <v>0.0</v>
      </c>
      <c r="K31" s="66">
        <v>0.0</v>
      </c>
      <c r="L31" s="66">
        <v>0.0</v>
      </c>
      <c r="M31" s="96">
        <v>0.0</v>
      </c>
      <c r="N31" s="47"/>
      <c r="O31" s="6"/>
    </row>
    <row r="32">
      <c r="A32" s="39" t="s">
        <v>70</v>
      </c>
      <c r="B32" s="70">
        <v>0.0</v>
      </c>
      <c r="C32" s="70">
        <v>0.0</v>
      </c>
      <c r="D32" s="70">
        <v>0.0</v>
      </c>
      <c r="E32" s="70">
        <v>0.0</v>
      </c>
      <c r="F32" s="70">
        <v>0.0</v>
      </c>
      <c r="G32" s="70">
        <v>0.0</v>
      </c>
      <c r="H32" s="70">
        <v>0.0</v>
      </c>
      <c r="I32" s="70">
        <v>0.0</v>
      </c>
      <c r="J32" s="70">
        <v>0.0</v>
      </c>
      <c r="K32" s="70">
        <v>0.0</v>
      </c>
      <c r="L32" s="70">
        <v>0.0</v>
      </c>
      <c r="M32" s="72">
        <v>0.0</v>
      </c>
      <c r="N32" s="47"/>
      <c r="O32" s="6"/>
    </row>
    <row r="33">
      <c r="A33" s="39" t="s">
        <v>72</v>
      </c>
      <c r="B33" s="74">
        <v>0.0</v>
      </c>
      <c r="C33" s="74">
        <v>0.0</v>
      </c>
      <c r="D33" s="74">
        <v>0.0</v>
      </c>
      <c r="E33" s="74">
        <v>0.0</v>
      </c>
      <c r="F33" s="74">
        <v>0.0</v>
      </c>
      <c r="G33" s="74">
        <v>0.0</v>
      </c>
      <c r="H33" s="74">
        <v>0.0</v>
      </c>
      <c r="I33" s="74">
        <v>0.0</v>
      </c>
      <c r="J33" s="74">
        <v>0.0</v>
      </c>
      <c r="K33" s="74">
        <v>0.0</v>
      </c>
      <c r="L33" s="74">
        <v>0.0</v>
      </c>
      <c r="M33" s="79">
        <v>0.0</v>
      </c>
      <c r="N33" s="47"/>
      <c r="O33" s="6"/>
    </row>
    <row r="34">
      <c r="A34" s="8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1"/>
      <c r="N34" s="47"/>
      <c r="O34" s="6"/>
    </row>
    <row r="35">
      <c r="A35" s="49" t="s">
        <v>75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47"/>
      <c r="O35" s="6"/>
    </row>
    <row r="36">
      <c r="A36" s="39" t="s">
        <v>76</v>
      </c>
      <c r="B36" s="74">
        <v>0.0</v>
      </c>
      <c r="C36" s="74">
        <v>0.0</v>
      </c>
      <c r="D36" s="74">
        <v>0.0</v>
      </c>
      <c r="E36" s="74">
        <v>0.0</v>
      </c>
      <c r="F36" s="74">
        <v>0.0</v>
      </c>
      <c r="G36" s="74">
        <v>0.0</v>
      </c>
      <c r="H36" s="74">
        <v>0.0</v>
      </c>
      <c r="I36" s="74">
        <v>0.0</v>
      </c>
      <c r="J36" s="74">
        <v>0.0</v>
      </c>
      <c r="K36" s="74">
        <v>0.0</v>
      </c>
      <c r="L36" s="74">
        <v>0.0</v>
      </c>
      <c r="M36" s="79">
        <v>0.0</v>
      </c>
      <c r="N36" s="47"/>
      <c r="O36" s="6"/>
    </row>
    <row r="37">
      <c r="A37" s="39" t="s">
        <v>77</v>
      </c>
      <c r="B37" s="70">
        <f t="shared" ref="B37:M37" si="9">$B59</f>
        <v>0.051</v>
      </c>
      <c r="C37" s="70">
        <f t="shared" si="9"/>
        <v>0.051</v>
      </c>
      <c r="D37" s="70">
        <f t="shared" si="9"/>
        <v>0.051</v>
      </c>
      <c r="E37" s="70">
        <f t="shared" si="9"/>
        <v>0.051</v>
      </c>
      <c r="F37" s="70">
        <f t="shared" si="9"/>
        <v>0.051</v>
      </c>
      <c r="G37" s="70">
        <f t="shared" si="9"/>
        <v>0.051</v>
      </c>
      <c r="H37" s="70">
        <f t="shared" si="9"/>
        <v>0.051</v>
      </c>
      <c r="I37" s="70">
        <f t="shared" si="9"/>
        <v>0.051</v>
      </c>
      <c r="J37" s="70">
        <f t="shared" si="9"/>
        <v>0.051</v>
      </c>
      <c r="K37" s="70">
        <f t="shared" si="9"/>
        <v>0.051</v>
      </c>
      <c r="L37" s="70">
        <f t="shared" si="9"/>
        <v>0.051</v>
      </c>
      <c r="M37" s="70">
        <f t="shared" si="9"/>
        <v>0.051</v>
      </c>
      <c r="N37" s="47"/>
      <c r="O37" s="6"/>
    </row>
    <row r="38">
      <c r="A38" s="100" t="str">
        <f>"Transaktionsgebyr ("&amp;B5&amp;")"</f>
        <v>Transaktionsgebyr (DKK)</v>
      </c>
      <c r="B38" s="101">
        <v>1.0</v>
      </c>
      <c r="C38" s="101">
        <v>1.0</v>
      </c>
      <c r="D38" s="101">
        <v>1.0</v>
      </c>
      <c r="E38" s="101">
        <v>1.0</v>
      </c>
      <c r="F38" s="101">
        <v>1.0</v>
      </c>
      <c r="G38" s="101">
        <v>1.0</v>
      </c>
      <c r="H38" s="101">
        <v>1.0</v>
      </c>
      <c r="I38" s="101">
        <v>1.0</v>
      </c>
      <c r="J38" s="101">
        <v>1.0</v>
      </c>
      <c r="K38" s="101">
        <v>1.0</v>
      </c>
      <c r="L38" s="101">
        <v>1.0</v>
      </c>
      <c r="M38" s="103">
        <v>1.0</v>
      </c>
      <c r="N38" s="47"/>
      <c r="O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>
      <c r="A40" s="8"/>
      <c r="B40" s="104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>
      <c r="A41" s="105" t="s">
        <v>81</v>
      </c>
      <c r="B41" s="105" t="s">
        <v>82</v>
      </c>
      <c r="C41" s="105" t="s">
        <v>84</v>
      </c>
      <c r="D41" s="105" t="s">
        <v>85</v>
      </c>
      <c r="E41" s="111" t="s">
        <v>86</v>
      </c>
      <c r="F41" s="6"/>
      <c r="G41" s="6"/>
      <c r="H41" s="6"/>
      <c r="I41" s="6"/>
      <c r="J41" s="6"/>
      <c r="K41" s="6"/>
      <c r="L41" s="6"/>
      <c r="M41" s="6"/>
      <c r="N41" s="6"/>
      <c r="O41" s="6"/>
    </row>
    <row r="42">
      <c r="A42" s="113">
        <v>0.3</v>
      </c>
      <c r="B42" s="116">
        <f t="shared" ref="B42:B44" si="10">E42*125%</f>
        <v>24987.5</v>
      </c>
      <c r="C42" s="117">
        <f t="shared" ref="C42:C43" si="11">B42*D42</f>
        <v>824587.5</v>
      </c>
      <c r="D42" s="118">
        <f>('Opsætning2025'!D38+'Opsætning2025'!D44)*A42</f>
        <v>33</v>
      </c>
      <c r="E42" s="119">
        <f>E48</f>
        <v>19990</v>
      </c>
      <c r="F42" s="6"/>
      <c r="G42" s="6"/>
      <c r="H42" s="6"/>
      <c r="I42" s="6"/>
      <c r="J42" s="6"/>
      <c r="K42" s="6"/>
      <c r="L42" s="6"/>
      <c r="M42" s="6"/>
      <c r="N42" s="6"/>
      <c r="O42" s="6"/>
    </row>
    <row r="43">
      <c r="A43" s="113">
        <v>0.0</v>
      </c>
      <c r="B43" s="116">
        <f t="shared" si="10"/>
        <v>15618.75</v>
      </c>
      <c r="C43" s="117">
        <f t="shared" si="11"/>
        <v>0</v>
      </c>
      <c r="D43" s="118">
        <f>('Opsætning2025'!D39+'Opsætning2025'!D45)*A43</f>
        <v>0</v>
      </c>
      <c r="E43" s="119">
        <f>E49*50%</f>
        <v>12495</v>
      </c>
      <c r="F43" s="6"/>
      <c r="G43" s="6"/>
      <c r="H43" s="6"/>
      <c r="I43" s="6"/>
      <c r="J43" s="6"/>
      <c r="K43" s="6"/>
      <c r="L43" s="6"/>
      <c r="M43" s="6"/>
      <c r="N43" s="6"/>
      <c r="O43" s="6"/>
    </row>
    <row r="44">
      <c r="A44" s="124"/>
      <c r="B44" s="116">
        <f t="shared" si="10"/>
        <v>0</v>
      </c>
      <c r="C44" s="120">
        <f>B50*A44*B44</f>
        <v>0</v>
      </c>
      <c r="D44" s="118">
        <f>B50*A44</f>
        <v>0</v>
      </c>
      <c r="E44" s="119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>
      <c r="A45" s="124"/>
      <c r="B45" s="128"/>
      <c r="C45" s="128"/>
      <c r="D45" s="134">
        <f>SUM(D42:D44)</f>
        <v>33</v>
      </c>
      <c r="E45" s="135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>
      <c r="A46" s="6"/>
      <c r="B46" s="6"/>
      <c r="C46" s="138"/>
      <c r="D46" s="6"/>
      <c r="E46" s="140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>
      <c r="A47" s="141" t="s">
        <v>135</v>
      </c>
      <c r="B47" s="141" t="s">
        <v>82</v>
      </c>
      <c r="C47" s="144" t="s">
        <v>84</v>
      </c>
      <c r="D47" s="141" t="s">
        <v>85</v>
      </c>
      <c r="E47" s="111" t="s">
        <v>86</v>
      </c>
      <c r="F47" s="6"/>
      <c r="G47" s="6"/>
      <c r="H47" s="6"/>
      <c r="I47" s="6"/>
      <c r="J47" s="6"/>
      <c r="K47" s="6"/>
      <c r="L47" s="6"/>
      <c r="M47" s="6"/>
      <c r="N47" s="6"/>
      <c r="O47" s="6"/>
    </row>
    <row r="48">
      <c r="A48" s="150">
        <v>1.0</v>
      </c>
      <c r="B48" s="154">
        <f t="shared" ref="B48:B51" si="12">E48*125%</f>
        <v>24987.5</v>
      </c>
      <c r="C48" s="156">
        <f>D53*A48*B48</f>
        <v>11244375</v>
      </c>
      <c r="D48" s="157">
        <f>D53*A48</f>
        <v>450</v>
      </c>
      <c r="E48" s="119">
        <v>19990.0</v>
      </c>
      <c r="F48" s="6"/>
      <c r="G48" s="6"/>
      <c r="H48" s="6"/>
      <c r="I48" s="6"/>
      <c r="J48" s="6"/>
      <c r="K48" s="6"/>
      <c r="L48" s="6"/>
      <c r="M48" s="6"/>
      <c r="N48" s="6"/>
      <c r="O48" s="6"/>
    </row>
    <row r="49">
      <c r="A49" s="150">
        <v>0.0</v>
      </c>
      <c r="B49" s="154">
        <f t="shared" si="12"/>
        <v>31237.5</v>
      </c>
      <c r="C49" s="156">
        <f>D53*A49*B49</f>
        <v>0</v>
      </c>
      <c r="D49" s="157">
        <f>D53*A49</f>
        <v>0</v>
      </c>
      <c r="E49" s="119">
        <v>24990.0</v>
      </c>
      <c r="F49" s="6"/>
      <c r="G49" s="6"/>
      <c r="H49" s="6"/>
      <c r="I49" s="6"/>
      <c r="J49" s="6"/>
      <c r="K49" s="6"/>
      <c r="L49" s="6"/>
      <c r="M49" s="6"/>
      <c r="N49" s="6"/>
      <c r="O49" s="6"/>
    </row>
    <row r="50">
      <c r="A50" s="150">
        <v>0.0</v>
      </c>
      <c r="B50" s="154">
        <f t="shared" si="12"/>
        <v>62487.5</v>
      </c>
      <c r="C50" s="156">
        <f>D53*A50*B50</f>
        <v>0</v>
      </c>
      <c r="D50" s="157">
        <f>D53*A50</f>
        <v>0</v>
      </c>
      <c r="E50" s="119">
        <v>49990.0</v>
      </c>
      <c r="F50" s="6"/>
      <c r="G50" s="6"/>
      <c r="H50" s="6"/>
      <c r="I50" s="6"/>
      <c r="J50" s="6"/>
      <c r="K50" s="6"/>
      <c r="L50" s="6"/>
      <c r="M50" s="6"/>
      <c r="N50" s="6"/>
      <c r="O50" s="6"/>
    </row>
    <row r="51">
      <c r="A51" s="150">
        <v>0.0</v>
      </c>
      <c r="B51" s="154">
        <f t="shared" si="12"/>
        <v>0</v>
      </c>
      <c r="C51" s="156">
        <f>D53*A51*B51</f>
        <v>0</v>
      </c>
      <c r="D51" s="157">
        <f>D53*A51</f>
        <v>0</v>
      </c>
      <c r="E51" s="119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>
      <c r="A52" s="159">
        <f>SUM(A48:A51)</f>
        <v>1</v>
      </c>
      <c r="B52" s="160"/>
      <c r="C52" s="161"/>
      <c r="D52" s="16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>
      <c r="A53" s="160" t="s">
        <v>145</v>
      </c>
      <c r="B53" s="6"/>
      <c r="C53" s="160"/>
      <c r="D53" s="163">
        <v>450.0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>
      <c r="A54" s="160" t="s">
        <v>114</v>
      </c>
      <c r="B54" s="160"/>
      <c r="C54" s="164">
        <f>C56/(D53+D45)</f>
        <v>24987.5</v>
      </c>
      <c r="D54" s="16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>
      <c r="A55" s="160" t="s">
        <v>115</v>
      </c>
      <c r="B55" s="165">
        <f>C56/12</f>
        <v>1005746.875</v>
      </c>
      <c r="C55" s="160"/>
      <c r="D55" s="16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>
      <c r="A56" s="167" t="s">
        <v>148</v>
      </c>
      <c r="B56" s="167"/>
      <c r="C56" s="168">
        <f>+(C49+C50+C48+C42+C43+C44+C51)</f>
        <v>12068962.5</v>
      </c>
      <c r="D56" s="11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>
      <c r="A57" s="170" t="s">
        <v>152</v>
      </c>
      <c r="B57" s="171"/>
      <c r="C57" s="174">
        <f>C56*80%</f>
        <v>9655170</v>
      </c>
      <c r="D57" s="160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>
      <c r="A58" s="8"/>
      <c r="B58" s="8"/>
      <c r="C58" s="175"/>
      <c r="D58" s="6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>
      <c r="A59" s="176" t="s">
        <v>83</v>
      </c>
      <c r="B59" s="177">
        <v>0.051</v>
      </c>
      <c r="C59" s="175"/>
      <c r="D59" s="6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>
      <c r="A60" s="8"/>
      <c r="B60" s="8"/>
      <c r="C60" s="175"/>
      <c r="D60" s="6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8"/>
      <c r="B61" s="8"/>
      <c r="C61" s="178"/>
      <c r="D61" s="175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>
      <c r="A62" s="8"/>
      <c r="B62" s="8"/>
      <c r="C62" s="17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>
      <c r="A63" s="6"/>
      <c r="B63" s="6"/>
      <c r="C63" s="17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>
      <c r="A64" s="6"/>
      <c r="B64" s="6"/>
      <c r="C64" s="17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6"/>
      <c r="B65" s="6"/>
      <c r="C65" s="17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>
      <c r="A66" s="6"/>
      <c r="B66" s="6"/>
      <c r="C66" s="6"/>
      <c r="D66" s="17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E69" s="32"/>
    </row>
  </sheetData>
  <mergeCells count="1">
    <mergeCell ref="B4:C4"/>
  </mergeCells>
  <hyperlinks>
    <hyperlink r:id="rId1" ref="B4"/>
    <hyperlink r:id="rId2" ref="A5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13" width="15.38"/>
    <col customWidth="1" min="14" max="14" width="3.63"/>
  </cols>
  <sheetData>
    <row r="1">
      <c r="A1" s="10" t="str">
        <f>"Budget "&amp;'Opsætning2026'!$B$6</f>
        <v>Budget 2026</v>
      </c>
    </row>
    <row r="2">
      <c r="A2" s="12" t="str">
        <f>'Opsætning2026'!$B$4</f>
        <v>Topix.dk ApS</v>
      </c>
    </row>
    <row r="3" ht="15.75" customHeight="1"/>
    <row r="4">
      <c r="A4" s="17" t="str">
        <f>"Alle beløb er i "&amp;'Opsætning2025'!B5&amp;" og ex. moms"</f>
        <v>Alle beløb er i DKK og ex. moms</v>
      </c>
      <c r="B4" s="18" t="str">
        <f>PROPER('Opsætning2026'!B$10)</f>
        <v>Januar-26</v>
      </c>
      <c r="C4" s="18" t="str">
        <f>PROPER('Opsætning2026'!C$10)</f>
        <v>Februar-26</v>
      </c>
      <c r="D4" s="18" t="str">
        <f>PROPER('Opsætning2026'!D$10)</f>
        <v>Marts-26</v>
      </c>
      <c r="E4" s="18" t="str">
        <f>PROPER('Opsætning2026'!E$10)</f>
        <v>April-26</v>
      </c>
      <c r="F4" s="18" t="str">
        <f>PROPER('Opsætning2026'!F$10)</f>
        <v>Maj-26</v>
      </c>
      <c r="G4" s="18" t="str">
        <f>PROPER('Opsætning2026'!G$10)</f>
        <v>Juni-26</v>
      </c>
      <c r="H4" s="18" t="str">
        <f>PROPER('Opsætning2026'!H$10)</f>
        <v>Juli-26</v>
      </c>
      <c r="I4" s="18" t="str">
        <f>PROPER('Opsætning2026'!I$10)</f>
        <v>August-26</v>
      </c>
      <c r="J4" s="18" t="str">
        <f>PROPER('Opsætning2026'!J$10)</f>
        <v>September-26</v>
      </c>
      <c r="K4" s="18" t="str">
        <f>PROPER('Opsætning2026'!K$10)</f>
        <v>Oktober-26</v>
      </c>
      <c r="L4" s="18" t="str">
        <f>PROPER('Opsætning2026'!L$10)</f>
        <v>November-26</v>
      </c>
      <c r="M4" s="18" t="str">
        <f>PROPER('Opsætning2026'!M$10)</f>
        <v>December-26</v>
      </c>
      <c r="O4" s="24" t="s">
        <v>10</v>
      </c>
    </row>
    <row r="5">
      <c r="A5" s="26" t="s">
        <v>11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9"/>
      <c r="O5" s="31"/>
    </row>
    <row r="6">
      <c r="A6" s="35" t="s">
        <v>14</v>
      </c>
      <c r="B6" s="37">
        <f>('Opsætning2026'!B$13*'Opsætning2026'!B$15)/'Opsætning2026'!$C$7</f>
        <v>804597.5</v>
      </c>
      <c r="C6" s="37">
        <f>('Opsætning2026'!C$13*'Opsætning2026'!C$15)/'Opsætning2026'!$C$7</f>
        <v>804597.5</v>
      </c>
      <c r="D6" s="37">
        <f>('Opsætning2026'!D$13*'Opsætning2026'!D$15)/'Opsætning2026'!$C$7</f>
        <v>804597.5</v>
      </c>
      <c r="E6" s="37">
        <f>('Opsætning2026'!E$13*'Opsætning2026'!E$15)/'Opsætning2026'!$C$7</f>
        <v>804597.5</v>
      </c>
      <c r="F6" s="37">
        <f>('Opsætning2026'!F$13*'Opsætning2026'!F$15)/'Opsætning2026'!$C$7</f>
        <v>804597.5</v>
      </c>
      <c r="G6" s="37">
        <f>('Opsætning2026'!G$13*'Opsætning2026'!G$15)/'Opsætning2026'!$C$7</f>
        <v>804597.5</v>
      </c>
      <c r="H6" s="37">
        <f>('Opsætning2026'!H$13*'Opsætning2026'!H$15)/'Opsætning2026'!$C$7</f>
        <v>804597.5</v>
      </c>
      <c r="I6" s="37">
        <f>('Opsætning2026'!I$13*'Opsætning2026'!I$15)/'Opsætning2026'!$C$7</f>
        <v>804597.5</v>
      </c>
      <c r="J6" s="37">
        <f>('Opsætning2026'!J$13*'Opsætning2026'!J$15)/'Opsætning2026'!$C$7</f>
        <v>804597.5</v>
      </c>
      <c r="K6" s="37">
        <f>('Opsætning2026'!K$13*'Opsætning2026'!K$15)/'Opsætning2026'!$C$7</f>
        <v>804597.5</v>
      </c>
      <c r="L6" s="37">
        <f>('Opsætning2026'!L$13*'Opsætning2026'!L$15)/'Opsætning2026'!$C$7</f>
        <v>804597.5</v>
      </c>
      <c r="M6" s="37">
        <f>('Opsætning2026'!M$13*'Opsætning2026'!M$15)/'Opsætning2026'!$C$7</f>
        <v>804597.5</v>
      </c>
      <c r="O6" s="44">
        <f t="shared" ref="O6:O7" si="1">SUM(B6:M6)</f>
        <v>9655170</v>
      </c>
    </row>
    <row r="7">
      <c r="A7" s="35" t="s">
        <v>42</v>
      </c>
      <c r="B7" s="37">
        <f>'Opsætning2026'!B17</f>
        <v>0</v>
      </c>
      <c r="C7" s="37">
        <f>'Opsætning2026'!C17</f>
        <v>0</v>
      </c>
      <c r="D7" s="37">
        <f>'Opsætning2026'!D17</f>
        <v>0</v>
      </c>
      <c r="E7" s="37">
        <f>'Opsætning2026'!E17</f>
        <v>0</v>
      </c>
      <c r="F7" s="37">
        <f>'Opsætning2026'!F17</f>
        <v>0</v>
      </c>
      <c r="G7" s="37">
        <f>'Opsætning2026'!G17</f>
        <v>0</v>
      </c>
      <c r="H7" s="37">
        <f>'Opsætning2026'!H17</f>
        <v>0</v>
      </c>
      <c r="I7" s="37">
        <f>'Opsætning2026'!I17</f>
        <v>0</v>
      </c>
      <c r="J7" s="37">
        <f>'Opsætning2026'!J17</f>
        <v>0</v>
      </c>
      <c r="K7" s="37">
        <f>'Opsætning2026'!K17</f>
        <v>0</v>
      </c>
      <c r="L7" s="37">
        <f>'Opsætning2026'!L17</f>
        <v>0</v>
      </c>
      <c r="M7" s="37">
        <f>'Opsætning2026'!M17</f>
        <v>0</v>
      </c>
      <c r="O7" s="44">
        <f t="shared" si="1"/>
        <v>0</v>
      </c>
    </row>
    <row r="8">
      <c r="A8" s="26" t="s">
        <v>43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9"/>
      <c r="O8" s="48"/>
    </row>
    <row r="9">
      <c r="A9" s="35" t="s">
        <v>44</v>
      </c>
      <c r="B9" s="37">
        <f>-(B$6*(1-'Opsætning2026'!B$16))</f>
        <v>0</v>
      </c>
      <c r="C9" s="37">
        <f>-(C$6*(1-'Opsætning2026'!C$16))</f>
        <v>0</v>
      </c>
      <c r="D9" s="37">
        <f>-(D$6*(1-'Opsætning2026'!D$16))</f>
        <v>0</v>
      </c>
      <c r="E9" s="37">
        <f>-(E$6*(1-'Opsætning2026'!E$16))</f>
        <v>0</v>
      </c>
      <c r="F9" s="37">
        <f>-(F$6*(1-'Opsætning2026'!F$16))</f>
        <v>0</v>
      </c>
      <c r="G9" s="37">
        <f>-(G$6*(1-'Opsætning2026'!G$16))</f>
        <v>0</v>
      </c>
      <c r="H9" s="37">
        <f>-(H$6*(1-'Opsætning2026'!H$16))</f>
        <v>0</v>
      </c>
      <c r="I9" s="37">
        <f>-(I$6*(1-'Opsætning2026'!I$16))</f>
        <v>0</v>
      </c>
      <c r="J9" s="37">
        <f>-(J$6*(1-'Opsætning2026'!J$16))</f>
        <v>0</v>
      </c>
      <c r="K9" s="37">
        <f>-(K$6*(1-'Opsætning2026'!K$16))</f>
        <v>0</v>
      </c>
      <c r="L9" s="37">
        <f>-(L$6*(1-'Opsætning2026'!L$16))</f>
        <v>0</v>
      </c>
      <c r="M9" s="37">
        <f>-(M$6*(1-'Opsætning2026'!M$16))</f>
        <v>0</v>
      </c>
      <c r="O9" s="44">
        <f t="shared" ref="O9:O13" si="2">SUM(B9:M9)</f>
        <v>0</v>
      </c>
    </row>
    <row r="10">
      <c r="A10" s="35" t="s">
        <v>47</v>
      </c>
      <c r="B10" s="37">
        <f>-('Opsætning2026'!B$13*('Opsætning2026'!B$29+'Opsætning2026'!B$30))</f>
        <v>0</v>
      </c>
      <c r="C10" s="37">
        <f>-('Opsætning2026'!C$13*('Opsætning2026'!C$29+'Opsætning2026'!C$30))</f>
        <v>0</v>
      </c>
      <c r="D10" s="37">
        <f>-('Opsætning2026'!D$13*('Opsætning2026'!D$29+'Opsætning2026'!D$30))</f>
        <v>0</v>
      </c>
      <c r="E10" s="37">
        <f>-('Opsætning2026'!E$13*('Opsætning2026'!E$29+'Opsætning2026'!E$30))</f>
        <v>0</v>
      </c>
      <c r="F10" s="37">
        <f>-('Opsætning2026'!F$13*('Opsætning2026'!F$29+'Opsætning2026'!F$30))</f>
        <v>0</v>
      </c>
      <c r="G10" s="37">
        <f>-('Opsætning2026'!G$13*('Opsætning2026'!G$29+'Opsætning2026'!G$30))</f>
        <v>0</v>
      </c>
      <c r="H10" s="37">
        <f>-('Opsætning2026'!H$13*('Opsætning2026'!H$29+'Opsætning2026'!H$30))</f>
        <v>0</v>
      </c>
      <c r="I10" s="37">
        <f>-('Opsætning2026'!I$13*('Opsætning2026'!I$29+'Opsætning2026'!I$30))</f>
        <v>0</v>
      </c>
      <c r="J10" s="37">
        <f>-('Opsætning2026'!J$13*('Opsætning2026'!J$29+'Opsætning2026'!J$30))</f>
        <v>0</v>
      </c>
      <c r="K10" s="37">
        <f>-('Opsætning2026'!K$13*('Opsætning2026'!K$29+'Opsætning2026'!K$30))</f>
        <v>0</v>
      </c>
      <c r="L10" s="37">
        <f>-('Opsætning2026'!L$13*('Opsætning2026'!L$29+'Opsætning2026'!L$30))</f>
        <v>0</v>
      </c>
      <c r="M10" s="37">
        <f>-('Opsætning2026'!M$13*('Opsætning2026'!M$29+'Opsætning2026'!M$30))</f>
        <v>0</v>
      </c>
      <c r="O10" s="44">
        <f t="shared" si="2"/>
        <v>0</v>
      </c>
    </row>
    <row r="11">
      <c r="A11" s="35" t="s">
        <v>48</v>
      </c>
      <c r="B11" s="37">
        <f>-('Opsætning2026'!B17*(1-'Opsætning2026'!B18))</f>
        <v>0</v>
      </c>
      <c r="C11" s="37">
        <f>-('Opsætning2026'!C17*(1-'Opsætning2026'!C18))</f>
        <v>0</v>
      </c>
      <c r="D11" s="37">
        <f>-('Opsætning2026'!D17*(1-'Opsætning2026'!D18))</f>
        <v>0</v>
      </c>
      <c r="E11" s="37">
        <f>-('Opsætning2026'!E17*(1-'Opsætning2026'!E18))</f>
        <v>0</v>
      </c>
      <c r="F11" s="37">
        <f>-('Opsætning2026'!F17*(1-'Opsætning2026'!F18))</f>
        <v>0</v>
      </c>
      <c r="G11" s="37">
        <f>-('Opsætning2026'!G17*(1-'Opsætning2026'!G18))</f>
        <v>0</v>
      </c>
      <c r="H11" s="37">
        <f>-('Opsætning2026'!H17*(1-'Opsætning2026'!H18))</f>
        <v>0</v>
      </c>
      <c r="I11" s="37">
        <f>-('Opsætning2026'!I17*(1-'Opsætning2026'!I18))</f>
        <v>0</v>
      </c>
      <c r="J11" s="37">
        <f>-('Opsætning2026'!J17*(1-'Opsætning2026'!J18))</f>
        <v>0</v>
      </c>
      <c r="K11" s="37">
        <f>-('Opsætning2026'!K17*(1-'Opsætning2026'!K18))</f>
        <v>0</v>
      </c>
      <c r="L11" s="37">
        <f>-('Opsætning2026'!L17*(1-'Opsætning2026'!L18))</f>
        <v>0</v>
      </c>
      <c r="M11" s="37">
        <f>-('Opsætning2026'!M17*(1-'Opsætning2026'!M18))</f>
        <v>0</v>
      </c>
      <c r="O11" s="44">
        <f t="shared" si="2"/>
        <v>0</v>
      </c>
    </row>
    <row r="12">
      <c r="A12" s="56" t="s">
        <v>50</v>
      </c>
      <c r="B12" s="57">
        <f>-('Opsætning2026'!B33)</f>
        <v>0</v>
      </c>
      <c r="C12" s="57">
        <f>-('Opsætning2026'!C33)</f>
        <v>0</v>
      </c>
      <c r="D12" s="57">
        <f>-('Opsætning2026'!D33)</f>
        <v>0</v>
      </c>
      <c r="E12" s="57">
        <f>-('Opsætning2026'!E33)</f>
        <v>0</v>
      </c>
      <c r="F12" s="57">
        <f>-('Opsætning2026'!F33)</f>
        <v>0</v>
      </c>
      <c r="G12" s="57">
        <f>-('Opsætning2026'!G33)</f>
        <v>0</v>
      </c>
      <c r="H12" s="57">
        <f>-('Opsætning2026'!H33)</f>
        <v>0</v>
      </c>
      <c r="I12" s="57">
        <f>-('Opsætning2026'!I33)</f>
        <v>0</v>
      </c>
      <c r="J12" s="57">
        <f>-('Opsætning2026'!J33)</f>
        <v>0</v>
      </c>
      <c r="K12" s="57">
        <f>-('Opsætning2026'!K33)</f>
        <v>0</v>
      </c>
      <c r="L12" s="57">
        <f>-('Opsætning2026'!L33)</f>
        <v>0</v>
      </c>
      <c r="M12" s="57">
        <f>-('Opsætning2026'!M33)</f>
        <v>0</v>
      </c>
      <c r="O12" s="63">
        <f t="shared" si="2"/>
        <v>0</v>
      </c>
    </row>
    <row r="13">
      <c r="A13" s="65" t="s">
        <v>52</v>
      </c>
      <c r="B13" s="68">
        <f t="shared" ref="B13:M13" si="3">SUM(B6:B12)</f>
        <v>804597.5</v>
      </c>
      <c r="C13" s="68">
        <f t="shared" si="3"/>
        <v>804597.5</v>
      </c>
      <c r="D13" s="68">
        <f t="shared" si="3"/>
        <v>804597.5</v>
      </c>
      <c r="E13" s="68">
        <f t="shared" si="3"/>
        <v>804597.5</v>
      </c>
      <c r="F13" s="68">
        <f t="shared" si="3"/>
        <v>804597.5</v>
      </c>
      <c r="G13" s="68">
        <f t="shared" si="3"/>
        <v>804597.5</v>
      </c>
      <c r="H13" s="68">
        <f t="shared" si="3"/>
        <v>804597.5</v>
      </c>
      <c r="I13" s="68">
        <f t="shared" si="3"/>
        <v>804597.5</v>
      </c>
      <c r="J13" s="68">
        <f t="shared" si="3"/>
        <v>804597.5</v>
      </c>
      <c r="K13" s="68">
        <f t="shared" si="3"/>
        <v>804597.5</v>
      </c>
      <c r="L13" s="68">
        <f t="shared" si="3"/>
        <v>804597.5</v>
      </c>
      <c r="M13" s="71">
        <f t="shared" si="3"/>
        <v>804597.5</v>
      </c>
      <c r="O13" s="75">
        <f t="shared" si="2"/>
        <v>9655170</v>
      </c>
    </row>
    <row r="14">
      <c r="A14" s="81" t="s">
        <v>59</v>
      </c>
      <c r="B14" s="83">
        <v>0.0</v>
      </c>
      <c r="C14" s="86">
        <f t="shared" ref="C14:M14" si="4">C13/SUM(C6:C7)</f>
        <v>1</v>
      </c>
      <c r="D14" s="86">
        <f t="shared" si="4"/>
        <v>1</v>
      </c>
      <c r="E14" s="86">
        <f t="shared" si="4"/>
        <v>1</v>
      </c>
      <c r="F14" s="86">
        <f t="shared" si="4"/>
        <v>1</v>
      </c>
      <c r="G14" s="86">
        <f t="shared" si="4"/>
        <v>1</v>
      </c>
      <c r="H14" s="86">
        <f t="shared" si="4"/>
        <v>1</v>
      </c>
      <c r="I14" s="86">
        <f t="shared" si="4"/>
        <v>1</v>
      </c>
      <c r="J14" s="86">
        <f t="shared" si="4"/>
        <v>1</v>
      </c>
      <c r="K14" s="86">
        <f t="shared" si="4"/>
        <v>1</v>
      </c>
      <c r="L14" s="86">
        <f t="shared" si="4"/>
        <v>1</v>
      </c>
      <c r="M14" s="88">
        <f t="shared" si="4"/>
        <v>1</v>
      </c>
      <c r="O14" s="89"/>
    </row>
    <row r="15">
      <c r="A15" s="90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55"/>
      <c r="O15" s="89"/>
    </row>
    <row r="16">
      <c r="A16" s="26" t="s">
        <v>71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9"/>
      <c r="O16" s="48"/>
    </row>
    <row r="17">
      <c r="A17" s="35" t="s">
        <v>60</v>
      </c>
      <c r="B17" s="67">
        <f>-('Opsætning2026'!B21+'Opsætning2026'!B22)</f>
        <v>-60000</v>
      </c>
      <c r="C17" s="67">
        <f>-('Opsætning2026'!C21+'Opsætning2026'!C22)</f>
        <v>-60000</v>
      </c>
      <c r="D17" s="67">
        <f>-('Opsætning2026'!D21+'Opsætning2026'!D22)</f>
        <v>-60000</v>
      </c>
      <c r="E17" s="67">
        <f>-('Opsætning2026'!E21+'Opsætning2026'!E22)</f>
        <v>-60000</v>
      </c>
      <c r="F17" s="67">
        <f>-('Opsætning2026'!F21+'Opsætning2026'!F22)</f>
        <v>-60000</v>
      </c>
      <c r="G17" s="67">
        <f>-('Opsætning2026'!G21+'Opsætning2026'!G22)</f>
        <v>-60000</v>
      </c>
      <c r="H17" s="67">
        <f>-('Opsætning2026'!H21+'Opsætning2026'!H22)</f>
        <v>-60000</v>
      </c>
      <c r="I17" s="67">
        <f>-('Opsætning2026'!I21+'Opsætning2026'!I22)</f>
        <v>-60000</v>
      </c>
      <c r="J17" s="67">
        <f>-('Opsætning2026'!J21+'Opsætning2026'!J22)</f>
        <v>-60000</v>
      </c>
      <c r="K17" s="67">
        <f>-('Opsætning2026'!K21+'Opsætning2026'!K22)</f>
        <v>-60000</v>
      </c>
      <c r="L17" s="67">
        <f>-('Opsætning2026'!L21+'Opsætning2026'!L22)</f>
        <v>-60000</v>
      </c>
      <c r="M17" s="67">
        <f>-('Opsætning2026'!M21+'Opsætning2026'!M22)</f>
        <v>-60000</v>
      </c>
      <c r="O17" s="44">
        <f t="shared" ref="O17:O21" si="5">SUM(B17:M17)</f>
        <v>-720000</v>
      </c>
    </row>
    <row r="18">
      <c r="A18" s="35" t="s">
        <v>75</v>
      </c>
      <c r="B18" s="94">
        <f>-('Opsætning2026'!B$36+('Opsætning2026'!B$13*('Opsætning2026'!B$38+('Opsætning2026'!B$15*'Opsætning2026'!B$37))))</f>
        <v>-51333.34063</v>
      </c>
      <c r="C18" s="94">
        <f>-('Opsætning2026'!C$36+('Opsætning2026'!C$13*('Opsætning2026'!C$38+('Opsætning2026'!C$15*'Opsætning2026'!C$37))))</f>
        <v>-51333.34063</v>
      </c>
      <c r="D18" s="94">
        <f>-('Opsætning2026'!D$36+('Opsætning2026'!D$13*('Opsætning2026'!D$38+('Opsætning2026'!D$15*'Opsætning2026'!D$37))))</f>
        <v>-51333.34063</v>
      </c>
      <c r="E18" s="94">
        <f>-('Opsætning2026'!E$36+('Opsætning2026'!E$13*('Opsætning2026'!E$38+('Opsætning2026'!E$15*'Opsætning2026'!E$37))))</f>
        <v>-51333.34063</v>
      </c>
      <c r="F18" s="94">
        <f>-('Opsætning2026'!F$36+('Opsætning2026'!F$13*('Opsætning2026'!F$38+('Opsætning2026'!F$15*'Opsætning2026'!F$37))))</f>
        <v>-51333.34063</v>
      </c>
      <c r="G18" s="94">
        <f>-('Opsætning2026'!G$36+('Opsætning2026'!G$13*('Opsætning2026'!G$38+('Opsætning2026'!G$15*'Opsætning2026'!G$37))))</f>
        <v>-51333.34063</v>
      </c>
      <c r="H18" s="94">
        <f>-('Opsætning2026'!H$36+('Opsætning2026'!H$13*('Opsætning2026'!H$38+('Opsætning2026'!H$15*'Opsætning2026'!H$37))))</f>
        <v>-51333.34063</v>
      </c>
      <c r="I18" s="94">
        <f>-('Opsætning2026'!I$36+('Opsætning2026'!I$13*('Opsætning2026'!I$38+('Opsætning2026'!I$15*'Opsætning2026'!I$37))))</f>
        <v>-51333.34063</v>
      </c>
      <c r="J18" s="94">
        <f>-('Opsætning2026'!J$36+('Opsætning2026'!J$13*('Opsætning2026'!J$38+('Opsætning2026'!J$15*'Opsætning2026'!J$37))))</f>
        <v>-51333.34063</v>
      </c>
      <c r="K18" s="94">
        <f>-('Opsætning2026'!K$36+('Opsætning2026'!K$13*('Opsætning2026'!K$38+('Opsætning2026'!K$15*'Opsætning2026'!K$37))))</f>
        <v>-51333.34063</v>
      </c>
      <c r="L18" s="94">
        <f>-('Opsætning2026'!L$36+('Opsætning2026'!L$13*('Opsætning2026'!L$38+('Opsætning2026'!L$15*'Opsætning2026'!L$37))))</f>
        <v>-51333.34063</v>
      </c>
      <c r="M18" s="94">
        <f>-('Opsætning2026'!M$36+('Opsætning2026'!M$13*('Opsætning2026'!M$38+('Opsætning2026'!M$15*'Opsætning2026'!M$37))))</f>
        <v>-51333.34063</v>
      </c>
      <c r="O18" s="44">
        <f t="shared" si="5"/>
        <v>-616000.0875</v>
      </c>
    </row>
    <row r="19">
      <c r="A19" s="35" t="s">
        <v>78</v>
      </c>
      <c r="B19" s="52">
        <v>-25000.0</v>
      </c>
      <c r="C19" s="52">
        <v>-25000.0</v>
      </c>
      <c r="D19" s="52">
        <v>-25000.0</v>
      </c>
      <c r="E19" s="52">
        <v>-25000.0</v>
      </c>
      <c r="F19" s="52">
        <v>-25000.0</v>
      </c>
      <c r="G19" s="52">
        <v>-25000.0</v>
      </c>
      <c r="H19" s="52">
        <v>-25000.0</v>
      </c>
      <c r="I19" s="52">
        <v>-25000.0</v>
      </c>
      <c r="J19" s="52">
        <v>-25000.0</v>
      </c>
      <c r="K19" s="52">
        <v>-25000.0</v>
      </c>
      <c r="L19" s="52">
        <v>-25000.0</v>
      </c>
      <c r="M19" s="52">
        <v>-25000.0</v>
      </c>
      <c r="O19" s="44">
        <f t="shared" si="5"/>
        <v>-300000</v>
      </c>
    </row>
    <row r="20">
      <c r="A20" s="99" t="s">
        <v>79</v>
      </c>
      <c r="B20" s="98">
        <v>-4000.0</v>
      </c>
      <c r="C20" s="98">
        <v>-4000.0</v>
      </c>
      <c r="D20" s="98">
        <v>-4000.0</v>
      </c>
      <c r="E20" s="98">
        <v>-4000.0</v>
      </c>
      <c r="F20" s="98">
        <v>-4000.0</v>
      </c>
      <c r="G20" s="98">
        <v>-4000.0</v>
      </c>
      <c r="H20" s="98">
        <v>-4000.0</v>
      </c>
      <c r="I20" s="98">
        <v>-4000.0</v>
      </c>
      <c r="J20" s="98">
        <v>-4000.0</v>
      </c>
      <c r="K20" s="98">
        <v>-4000.0</v>
      </c>
      <c r="L20" s="98">
        <v>-4000.0</v>
      </c>
      <c r="M20" s="98">
        <v>-4000.0</v>
      </c>
      <c r="O20" s="44">
        <f t="shared" si="5"/>
        <v>-48000</v>
      </c>
    </row>
    <row r="21">
      <c r="A21" s="35" t="s">
        <v>80</v>
      </c>
      <c r="B21" s="98">
        <f>-(B6*'Opsætning2026'!B$32)</f>
        <v>0</v>
      </c>
      <c r="C21" s="98">
        <f>-(C6*'Opsætning2026'!C$32)</f>
        <v>0</v>
      </c>
      <c r="D21" s="98">
        <f>-(D6*'Opsætning2026'!D$32)</f>
        <v>0</v>
      </c>
      <c r="E21" s="98">
        <f>-(E6*'Opsætning2026'!E$32)</f>
        <v>0</v>
      </c>
      <c r="F21" s="98">
        <f>-(F6*'Opsætning2026'!F$32)</f>
        <v>0</v>
      </c>
      <c r="G21" s="98">
        <f>-(G6*'Opsætning2026'!G$32)</f>
        <v>0</v>
      </c>
      <c r="H21" s="98">
        <f>-(H6*'Opsætning2026'!H$32)</f>
        <v>0</v>
      </c>
      <c r="I21" s="98">
        <f>-(I6*'Opsætning2026'!I$32)</f>
        <v>0</v>
      </c>
      <c r="J21" s="98">
        <f>-(J6*'Opsætning2026'!J$32)</f>
        <v>0</v>
      </c>
      <c r="K21" s="98">
        <f>-(K6*'Opsætning2026'!K$32)</f>
        <v>0</v>
      </c>
      <c r="L21" s="98">
        <f>-(L6*'Opsætning2026'!L$32)</f>
        <v>0</v>
      </c>
      <c r="M21" s="98">
        <f>-(M6*'Opsætning2026'!M$32)</f>
        <v>0</v>
      </c>
      <c r="O21" s="44">
        <f t="shared" si="5"/>
        <v>0</v>
      </c>
    </row>
    <row r="22">
      <c r="A22" s="26" t="s">
        <v>87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4"/>
      <c r="O22" s="48"/>
    </row>
    <row r="23">
      <c r="A23" s="35" t="s">
        <v>88</v>
      </c>
      <c r="B23" s="98">
        <v>-200000.0</v>
      </c>
      <c r="C23" s="98">
        <v>-200000.0</v>
      </c>
      <c r="D23" s="98">
        <v>-200000.0</v>
      </c>
      <c r="E23" s="98">
        <v>-200000.0</v>
      </c>
      <c r="F23" s="98">
        <v>-200000.0</v>
      </c>
      <c r="G23" s="98">
        <v>-200000.0</v>
      </c>
      <c r="H23" s="98">
        <v>-200000.0</v>
      </c>
      <c r="I23" s="98">
        <v>-200000.0</v>
      </c>
      <c r="J23" s="98">
        <v>-200000.0</v>
      </c>
      <c r="K23" s="98">
        <v>-200000.0</v>
      </c>
      <c r="L23" s="98">
        <v>-200000.0</v>
      </c>
      <c r="M23" s="98">
        <v>-200000.0</v>
      </c>
      <c r="O23" s="44">
        <f t="shared" ref="O23:O25" si="6">SUM(B23:M23)</f>
        <v>-2400000</v>
      </c>
    </row>
    <row r="24">
      <c r="A24" s="35" t="s">
        <v>90</v>
      </c>
      <c r="B24" s="98">
        <f>B23*'Opsætning2026'!$B$8</f>
        <v>-32000</v>
      </c>
      <c r="C24" s="98">
        <f>C23*'Opsætning2025'!$B$8</f>
        <v>-32000</v>
      </c>
      <c r="D24" s="98">
        <f>D23*'Opsætning2025'!$B$8</f>
        <v>-32000</v>
      </c>
      <c r="E24" s="98">
        <f>E23*'Opsætning2025'!$B$8</f>
        <v>-32000</v>
      </c>
      <c r="F24" s="98">
        <f>F23*'Opsætning2025'!$B$8</f>
        <v>-32000</v>
      </c>
      <c r="G24" s="98">
        <f>G23*'Opsætning2025'!$B$8</f>
        <v>-32000</v>
      </c>
      <c r="H24" s="98">
        <f>H23*'Opsætning2025'!$B$8</f>
        <v>-32000</v>
      </c>
      <c r="I24" s="98">
        <f>I23*'Opsætning2025'!$B$8</f>
        <v>-32000</v>
      </c>
      <c r="J24" s="98">
        <f>J23*'Opsætning2025'!$B$8</f>
        <v>-32000</v>
      </c>
      <c r="K24" s="98">
        <f>K23*'Opsætning2025'!$B$8</f>
        <v>-32000</v>
      </c>
      <c r="L24" s="98">
        <f>L23*'Opsætning2025'!$B$8</f>
        <v>-32000</v>
      </c>
      <c r="M24" s="109">
        <f>M23*'Opsætning2025'!$B$8</f>
        <v>-32000</v>
      </c>
      <c r="O24" s="44">
        <f t="shared" si="6"/>
        <v>-384000</v>
      </c>
    </row>
    <row r="25">
      <c r="A25" s="35" t="s">
        <v>91</v>
      </c>
      <c r="B25" s="98">
        <v>-500.0</v>
      </c>
      <c r="C25" s="98">
        <v>-500.0</v>
      </c>
      <c r="D25" s="98">
        <v>-500.0</v>
      </c>
      <c r="E25" s="98">
        <v>-500.0</v>
      </c>
      <c r="F25" s="98">
        <v>-500.0</v>
      </c>
      <c r="G25" s="98">
        <v>-500.0</v>
      </c>
      <c r="H25" s="98">
        <v>-500.0</v>
      </c>
      <c r="I25" s="98">
        <v>-500.0</v>
      </c>
      <c r="J25" s="98">
        <v>-500.0</v>
      </c>
      <c r="K25" s="98">
        <v>-500.0</v>
      </c>
      <c r="L25" s="98">
        <v>-500.0</v>
      </c>
      <c r="M25" s="98">
        <v>-500.0</v>
      </c>
      <c r="O25" s="44">
        <f t="shared" si="6"/>
        <v>-6000</v>
      </c>
    </row>
    <row r="26">
      <c r="A26" s="26" t="s">
        <v>92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2"/>
      <c r="O26" s="48"/>
    </row>
    <row r="27">
      <c r="A27" s="35" t="s">
        <v>93</v>
      </c>
      <c r="B27" s="98">
        <v>-2000.0</v>
      </c>
      <c r="C27" s="98">
        <v>-2000.0</v>
      </c>
      <c r="D27" s="98">
        <v>-2000.0</v>
      </c>
      <c r="E27" s="98">
        <v>-2000.0</v>
      </c>
      <c r="F27" s="98">
        <v>-2000.0</v>
      </c>
      <c r="G27" s="98">
        <v>-2000.0</v>
      </c>
      <c r="H27" s="98">
        <v>-2000.0</v>
      </c>
      <c r="I27" s="98">
        <v>-2000.0</v>
      </c>
      <c r="J27" s="98">
        <v>-2000.0</v>
      </c>
      <c r="K27" s="98">
        <v>-2000.0</v>
      </c>
      <c r="L27" s="98">
        <v>-2000.0</v>
      </c>
      <c r="M27" s="98">
        <v>-2000.0</v>
      </c>
      <c r="O27" s="44">
        <f t="shared" ref="O27:O30" si="7">SUM(B27:M27)</f>
        <v>-24000</v>
      </c>
    </row>
    <row r="28">
      <c r="A28" s="35" t="s">
        <v>124</v>
      </c>
      <c r="B28" s="52">
        <v>-5000.0</v>
      </c>
      <c r="C28" s="52">
        <v>-5000.0</v>
      </c>
      <c r="D28" s="52">
        <v>-5000.0</v>
      </c>
      <c r="E28" s="52">
        <v>-5000.0</v>
      </c>
      <c r="F28" s="52">
        <v>-5000.0</v>
      </c>
      <c r="G28" s="52">
        <v>-5000.0</v>
      </c>
      <c r="H28" s="52">
        <v>-5000.0</v>
      </c>
      <c r="I28" s="52">
        <v>-5000.0</v>
      </c>
      <c r="J28" s="52">
        <v>-5000.0</v>
      </c>
      <c r="K28" s="52">
        <v>-5000.0</v>
      </c>
      <c r="L28" s="52">
        <v>-5000.0</v>
      </c>
      <c r="M28" s="52">
        <v>-5000.0</v>
      </c>
      <c r="O28" s="44">
        <f t="shared" si="7"/>
        <v>-60000</v>
      </c>
    </row>
    <row r="29">
      <c r="A29" s="35" t="s">
        <v>96</v>
      </c>
      <c r="B29" s="98">
        <v>-500.0</v>
      </c>
      <c r="C29" s="98">
        <v>-500.0</v>
      </c>
      <c r="D29" s="98">
        <v>-500.0</v>
      </c>
      <c r="E29" s="98">
        <v>-500.0</v>
      </c>
      <c r="F29" s="98">
        <v>-500.0</v>
      </c>
      <c r="G29" s="98">
        <v>-500.0</v>
      </c>
      <c r="H29" s="98">
        <v>-500.0</v>
      </c>
      <c r="I29" s="98">
        <v>-500.0</v>
      </c>
      <c r="J29" s="98">
        <v>-500.0</v>
      </c>
      <c r="K29" s="98">
        <v>-500.0</v>
      </c>
      <c r="L29" s="98">
        <v>-500.0</v>
      </c>
      <c r="M29" s="98">
        <v>-500.0</v>
      </c>
      <c r="O29" s="44">
        <f t="shared" si="7"/>
        <v>-6000</v>
      </c>
    </row>
    <row r="30">
      <c r="A30" s="35" t="s">
        <v>132</v>
      </c>
      <c r="B30" s="98">
        <v>-300.0</v>
      </c>
      <c r="C30" s="98">
        <v>-300.0</v>
      </c>
      <c r="D30" s="98">
        <v>-300.0</v>
      </c>
      <c r="E30" s="98">
        <v>-300.0</v>
      </c>
      <c r="F30" s="98">
        <v>-300.0</v>
      </c>
      <c r="G30" s="98">
        <v>-300.0</v>
      </c>
      <c r="H30" s="98">
        <v>-300.0</v>
      </c>
      <c r="I30" s="98">
        <v>-300.0</v>
      </c>
      <c r="J30" s="98">
        <v>-300.0</v>
      </c>
      <c r="K30" s="98">
        <v>-300.0</v>
      </c>
      <c r="L30" s="98">
        <v>-300.0</v>
      </c>
      <c r="M30" s="98">
        <v>-300.0</v>
      </c>
      <c r="O30" s="44">
        <f t="shared" si="7"/>
        <v>-3600</v>
      </c>
    </row>
    <row r="31">
      <c r="A31" s="26" t="s">
        <v>112</v>
      </c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2"/>
      <c r="O31" s="48"/>
    </row>
    <row r="32">
      <c r="A32" s="35" t="s">
        <v>137</v>
      </c>
      <c r="B32" s="98">
        <v>-1450.0</v>
      </c>
      <c r="C32" s="98">
        <v>-1450.0</v>
      </c>
      <c r="D32" s="98">
        <v>-1450.0</v>
      </c>
      <c r="E32" s="98">
        <v>-1450.0</v>
      </c>
      <c r="F32" s="98">
        <v>-1450.0</v>
      </c>
      <c r="G32" s="98">
        <v>-1450.0</v>
      </c>
      <c r="H32" s="98">
        <v>-1450.0</v>
      </c>
      <c r="I32" s="98">
        <v>-1450.0</v>
      </c>
      <c r="J32" s="98">
        <v>-1450.0</v>
      </c>
      <c r="K32" s="98">
        <v>-1450.0</v>
      </c>
      <c r="L32" s="98">
        <v>-1450.0</v>
      </c>
      <c r="M32" s="98">
        <v>-1450.0</v>
      </c>
      <c r="O32" s="44">
        <f t="shared" ref="O32:O35" si="8">SUM(B32:M32)</f>
        <v>-17400</v>
      </c>
    </row>
    <row r="33">
      <c r="A33" s="35" t="s">
        <v>116</v>
      </c>
      <c r="B33" s="98">
        <v>0.0</v>
      </c>
      <c r="C33" s="98">
        <v>0.0</v>
      </c>
      <c r="D33" s="98">
        <v>0.0</v>
      </c>
      <c r="E33" s="98">
        <v>0.0</v>
      </c>
      <c r="F33" s="98">
        <v>0.0</v>
      </c>
      <c r="G33" s="98">
        <v>0.0</v>
      </c>
      <c r="H33" s="98">
        <v>0.0</v>
      </c>
      <c r="I33" s="98">
        <v>0.0</v>
      </c>
      <c r="J33" s="98">
        <v>0.0</v>
      </c>
      <c r="K33" s="98">
        <v>0.0</v>
      </c>
      <c r="L33" s="98">
        <v>0.0</v>
      </c>
      <c r="M33" s="98">
        <v>0.0</v>
      </c>
      <c r="O33" s="44">
        <f t="shared" si="8"/>
        <v>0</v>
      </c>
    </row>
    <row r="34">
      <c r="A34" s="35" t="s">
        <v>117</v>
      </c>
      <c r="B34" s="98">
        <v>0.0</v>
      </c>
      <c r="C34" s="98">
        <v>0.0</v>
      </c>
      <c r="D34" s="98">
        <v>0.0</v>
      </c>
      <c r="E34" s="98">
        <v>0.0</v>
      </c>
      <c r="F34" s="98">
        <v>0.0</v>
      </c>
      <c r="G34" s="98">
        <v>0.0</v>
      </c>
      <c r="H34" s="98">
        <v>0.0</v>
      </c>
      <c r="I34" s="98">
        <v>0.0</v>
      </c>
      <c r="J34" s="98">
        <v>0.0</v>
      </c>
      <c r="K34" s="98">
        <v>0.0</v>
      </c>
      <c r="L34" s="98">
        <v>0.0</v>
      </c>
      <c r="M34" s="98">
        <v>0.0</v>
      </c>
      <c r="O34" s="44">
        <f t="shared" si="8"/>
        <v>0</v>
      </c>
    </row>
    <row r="35">
      <c r="A35" s="35" t="s">
        <v>119</v>
      </c>
      <c r="B35" s="98">
        <v>0.0</v>
      </c>
      <c r="C35" s="98">
        <v>0.0</v>
      </c>
      <c r="D35" s="98">
        <v>0.0</v>
      </c>
      <c r="E35" s="98">
        <v>0.0</v>
      </c>
      <c r="F35" s="98">
        <v>0.0</v>
      </c>
      <c r="G35" s="98">
        <v>0.0</v>
      </c>
      <c r="H35" s="98">
        <v>0.0</v>
      </c>
      <c r="I35" s="98">
        <v>0.0</v>
      </c>
      <c r="J35" s="98">
        <v>0.0</v>
      </c>
      <c r="K35" s="98">
        <v>0.0</v>
      </c>
      <c r="L35" s="98">
        <v>0.0</v>
      </c>
      <c r="M35" s="98">
        <v>0.0</v>
      </c>
      <c r="O35" s="44">
        <f t="shared" si="8"/>
        <v>0</v>
      </c>
    </row>
    <row r="36">
      <c r="A36" s="26" t="s">
        <v>120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2"/>
      <c r="O36" s="48"/>
    </row>
    <row r="37">
      <c r="A37" s="35" t="s">
        <v>122</v>
      </c>
      <c r="B37" s="98">
        <v>-100.0</v>
      </c>
      <c r="C37" s="98">
        <v>-100.0</v>
      </c>
      <c r="D37" s="98">
        <v>-100.0</v>
      </c>
      <c r="E37" s="98">
        <v>-100.0</v>
      </c>
      <c r="F37" s="98">
        <v>-100.0</v>
      </c>
      <c r="G37" s="98">
        <v>-100.0</v>
      </c>
      <c r="H37" s="98">
        <v>-100.0</v>
      </c>
      <c r="I37" s="98">
        <v>-100.0</v>
      </c>
      <c r="J37" s="98">
        <v>-100.0</v>
      </c>
      <c r="K37" s="98">
        <v>-100.0</v>
      </c>
      <c r="L37" s="98">
        <v>-100.0</v>
      </c>
      <c r="M37" s="109">
        <v>-100.0</v>
      </c>
      <c r="O37" s="44">
        <f t="shared" ref="O37:O44" si="9">SUM(B37:M37)</f>
        <v>-1200</v>
      </c>
    </row>
    <row r="38">
      <c r="A38" s="35" t="s">
        <v>123</v>
      </c>
      <c r="B38" s="98">
        <v>-1000.0</v>
      </c>
      <c r="C38" s="98">
        <v>-1000.0</v>
      </c>
      <c r="D38" s="98">
        <v>-1000.0</v>
      </c>
      <c r="E38" s="98">
        <v>-1000.0</v>
      </c>
      <c r="F38" s="98">
        <v>-1000.0</v>
      </c>
      <c r="G38" s="98">
        <v>-1000.0</v>
      </c>
      <c r="H38" s="98">
        <v>-1000.0</v>
      </c>
      <c r="I38" s="98">
        <v>-1000.0</v>
      </c>
      <c r="J38" s="98">
        <v>-1000.0</v>
      </c>
      <c r="K38" s="98">
        <v>-1000.0</v>
      </c>
      <c r="L38" s="98">
        <v>-1000.0</v>
      </c>
      <c r="M38" s="98">
        <v>-1000.0</v>
      </c>
      <c r="O38" s="44">
        <f t="shared" si="9"/>
        <v>-12000</v>
      </c>
    </row>
    <row r="39">
      <c r="A39" s="35" t="s">
        <v>125</v>
      </c>
      <c r="B39" s="98">
        <v>-800.0</v>
      </c>
      <c r="C39" s="98">
        <v>-800.0</v>
      </c>
      <c r="D39" s="98">
        <v>-800.0</v>
      </c>
      <c r="E39" s="98">
        <v>-800.0</v>
      </c>
      <c r="F39" s="98">
        <v>-800.0</v>
      </c>
      <c r="G39" s="98">
        <v>-800.0</v>
      </c>
      <c r="H39" s="98">
        <v>-800.0</v>
      </c>
      <c r="I39" s="98">
        <v>-800.0</v>
      </c>
      <c r="J39" s="98">
        <v>-800.0</v>
      </c>
      <c r="K39" s="98">
        <v>-800.0</v>
      </c>
      <c r="L39" s="98">
        <v>-800.0</v>
      </c>
      <c r="M39" s="98">
        <v>-800.0</v>
      </c>
      <c r="O39" s="44">
        <f t="shared" si="9"/>
        <v>-9600</v>
      </c>
    </row>
    <row r="40">
      <c r="A40" s="35" t="s">
        <v>130</v>
      </c>
      <c r="B40" s="98">
        <v>-560.0</v>
      </c>
      <c r="C40" s="98">
        <v>-560.0</v>
      </c>
      <c r="D40" s="98">
        <v>-560.0</v>
      </c>
      <c r="E40" s="98">
        <v>-560.0</v>
      </c>
      <c r="F40" s="98">
        <v>-560.0</v>
      </c>
      <c r="G40" s="98">
        <v>-560.0</v>
      </c>
      <c r="H40" s="98">
        <v>-560.0</v>
      </c>
      <c r="I40" s="98">
        <v>-560.0</v>
      </c>
      <c r="J40" s="98">
        <v>-560.0</v>
      </c>
      <c r="K40" s="98">
        <v>-560.0</v>
      </c>
      <c r="L40" s="98">
        <v>-560.0</v>
      </c>
      <c r="M40" s="98">
        <v>-560.0</v>
      </c>
      <c r="O40" s="44">
        <f t="shared" si="9"/>
        <v>-6720</v>
      </c>
    </row>
    <row r="41">
      <c r="A41" s="35" t="s">
        <v>133</v>
      </c>
      <c r="B41" s="98">
        <v>-1000.0</v>
      </c>
      <c r="C41" s="98">
        <v>-1000.0</v>
      </c>
      <c r="D41" s="98">
        <v>-1000.0</v>
      </c>
      <c r="E41" s="98">
        <v>-1000.0</v>
      </c>
      <c r="F41" s="98">
        <v>-1000.0</v>
      </c>
      <c r="G41" s="98">
        <v>-1000.0</v>
      </c>
      <c r="H41" s="98">
        <v>-1000.0</v>
      </c>
      <c r="I41" s="98">
        <v>-1000.0</v>
      </c>
      <c r="J41" s="98">
        <v>-1000.0</v>
      </c>
      <c r="K41" s="98">
        <v>-1000.0</v>
      </c>
      <c r="L41" s="98">
        <v>-1000.0</v>
      </c>
      <c r="M41" s="98">
        <v>-1000.0</v>
      </c>
      <c r="O41" s="44">
        <f t="shared" si="9"/>
        <v>-12000</v>
      </c>
    </row>
    <row r="42">
      <c r="A42" s="35" t="s">
        <v>134</v>
      </c>
      <c r="B42" s="98">
        <v>-8000.0</v>
      </c>
      <c r="C42" s="98">
        <v>-8000.0</v>
      </c>
      <c r="D42" s="98">
        <v>-8000.0</v>
      </c>
      <c r="E42" s="98">
        <v>-8000.0</v>
      </c>
      <c r="F42" s="98">
        <v>-8000.0</v>
      </c>
      <c r="G42" s="98">
        <v>-8000.0</v>
      </c>
      <c r="H42" s="98">
        <v>-8000.0</v>
      </c>
      <c r="I42" s="98">
        <v>-8000.0</v>
      </c>
      <c r="J42" s="98">
        <v>-8000.0</v>
      </c>
      <c r="K42" s="98">
        <v>-8000.0</v>
      </c>
      <c r="L42" s="98">
        <v>-8000.0</v>
      </c>
      <c r="M42" s="98">
        <v>-30000.0</v>
      </c>
      <c r="O42" s="44">
        <f t="shared" si="9"/>
        <v>-118000</v>
      </c>
    </row>
    <row r="43">
      <c r="A43" s="56" t="s">
        <v>136</v>
      </c>
      <c r="B43" s="142">
        <f t="shared" ref="B43:M43" si="10">SUM(B22:B42)*5%</f>
        <v>-12660.5</v>
      </c>
      <c r="C43" s="142">
        <f t="shared" si="10"/>
        <v>-12660.5</v>
      </c>
      <c r="D43" s="142">
        <f t="shared" si="10"/>
        <v>-12660.5</v>
      </c>
      <c r="E43" s="142">
        <f t="shared" si="10"/>
        <v>-12660.5</v>
      </c>
      <c r="F43" s="142">
        <f t="shared" si="10"/>
        <v>-12660.5</v>
      </c>
      <c r="G43" s="142">
        <f t="shared" si="10"/>
        <v>-12660.5</v>
      </c>
      <c r="H43" s="142">
        <f t="shared" si="10"/>
        <v>-12660.5</v>
      </c>
      <c r="I43" s="142">
        <f t="shared" si="10"/>
        <v>-12660.5</v>
      </c>
      <c r="J43" s="142">
        <f t="shared" si="10"/>
        <v>-12660.5</v>
      </c>
      <c r="K43" s="142">
        <f t="shared" si="10"/>
        <v>-12660.5</v>
      </c>
      <c r="L43" s="142">
        <f t="shared" si="10"/>
        <v>-12660.5</v>
      </c>
      <c r="M43" s="145">
        <f t="shared" si="10"/>
        <v>-13760.5</v>
      </c>
      <c r="O43" s="63">
        <f t="shared" si="9"/>
        <v>-153026</v>
      </c>
    </row>
    <row r="44">
      <c r="A44" s="146" t="s">
        <v>138</v>
      </c>
      <c r="B44" s="147">
        <f t="shared" ref="B44:M44" si="11">SUM(B13:B43)</f>
        <v>398393.6594</v>
      </c>
      <c r="C44" s="147">
        <f t="shared" si="11"/>
        <v>398394.6594</v>
      </c>
      <c r="D44" s="147">
        <f t="shared" si="11"/>
        <v>398394.6594</v>
      </c>
      <c r="E44" s="147">
        <f t="shared" si="11"/>
        <v>398394.6594</v>
      </c>
      <c r="F44" s="147">
        <f t="shared" si="11"/>
        <v>398394.6594</v>
      </c>
      <c r="G44" s="147">
        <f t="shared" si="11"/>
        <v>398394.6594</v>
      </c>
      <c r="H44" s="147">
        <f t="shared" si="11"/>
        <v>398394.6594</v>
      </c>
      <c r="I44" s="147">
        <f t="shared" si="11"/>
        <v>398394.6594</v>
      </c>
      <c r="J44" s="147">
        <f t="shared" si="11"/>
        <v>398394.6594</v>
      </c>
      <c r="K44" s="147">
        <f t="shared" si="11"/>
        <v>398394.6594</v>
      </c>
      <c r="L44" s="147">
        <f t="shared" si="11"/>
        <v>398394.6594</v>
      </c>
      <c r="M44" s="147">
        <f t="shared" si="11"/>
        <v>375294.6594</v>
      </c>
      <c r="O44" s="149">
        <f t="shared" si="9"/>
        <v>4757634.913</v>
      </c>
    </row>
    <row r="45">
      <c r="A45" s="151" t="s">
        <v>139</v>
      </c>
      <c r="B45" s="153">
        <f t="shared" ref="B45:M45" si="12">B44/SUM(B6:B7)</f>
        <v>0.495146529</v>
      </c>
      <c r="C45" s="153">
        <f t="shared" si="12"/>
        <v>0.4951477719</v>
      </c>
      <c r="D45" s="153">
        <f t="shared" si="12"/>
        <v>0.4951477719</v>
      </c>
      <c r="E45" s="153">
        <f t="shared" si="12"/>
        <v>0.4951477719</v>
      </c>
      <c r="F45" s="153">
        <f t="shared" si="12"/>
        <v>0.4951477719</v>
      </c>
      <c r="G45" s="153">
        <f t="shared" si="12"/>
        <v>0.4951477719</v>
      </c>
      <c r="H45" s="153">
        <f t="shared" si="12"/>
        <v>0.4951477719</v>
      </c>
      <c r="I45" s="153">
        <f t="shared" si="12"/>
        <v>0.4951477719</v>
      </c>
      <c r="J45" s="153">
        <f t="shared" si="12"/>
        <v>0.4951477719</v>
      </c>
      <c r="K45" s="153">
        <f t="shared" si="12"/>
        <v>0.4951477719</v>
      </c>
      <c r="L45" s="153">
        <f t="shared" si="12"/>
        <v>0.4951477719</v>
      </c>
      <c r="M45" s="153">
        <f t="shared" si="12"/>
        <v>0.4664377647</v>
      </c>
      <c r="O45" s="153">
        <f>O44/SUM(O6:O7)</f>
        <v>0.4927551677</v>
      </c>
    </row>
    <row r="46"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  <row r="47"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</row>
    <row r="48"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</row>
  </sheetData>
  <conditionalFormatting sqref="B44:M44 O44">
    <cfRule type="cellIs" dxfId="0" priority="1" operator="greaterThanOrEqual">
      <formula>0</formula>
    </cfRule>
  </conditionalFormatting>
  <conditionalFormatting sqref="B44:M44 O44">
    <cfRule type="cellIs" dxfId="1" priority="2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8" t="str">
        <f>PROPER('Opsætning2025'!B$10)</f>
        <v>Januar-25</v>
      </c>
      <c r="C1" s="18" t="str">
        <f>PROPER('Opsætning2025'!C$10)</f>
        <v>Februar-25</v>
      </c>
      <c r="D1" s="18" t="str">
        <f>PROPER('Opsætning2025'!D$10)</f>
        <v>Marts-25</v>
      </c>
      <c r="E1" s="18" t="str">
        <f>PROPER('Opsætning2025'!E$10)</f>
        <v>April-25</v>
      </c>
      <c r="F1" s="18" t="str">
        <f>PROPER('Opsætning2025'!F$10)</f>
        <v>Maj-25</v>
      </c>
      <c r="G1" s="18" t="str">
        <f>PROPER('Opsætning2025'!G$10)</f>
        <v>Juni-25</v>
      </c>
      <c r="H1" s="18" t="str">
        <f>PROPER('Opsætning2025'!H$10)</f>
        <v>Juli-25</v>
      </c>
      <c r="I1" s="18" t="str">
        <f>PROPER('Opsætning2025'!I$10)</f>
        <v>August-25</v>
      </c>
      <c r="J1" s="18" t="str">
        <f>PROPER('Opsætning2025'!J$10)</f>
        <v>September-25</v>
      </c>
      <c r="K1" s="18" t="str">
        <f>PROPER('Opsætning2025'!K$10)</f>
        <v>Oktober-25</v>
      </c>
      <c r="L1" s="18" t="str">
        <f>PROPER('Opsætning2025'!L$10)</f>
        <v>November-25</v>
      </c>
      <c r="M1" s="18" t="str">
        <f>PROPER('Opsætning2025'!M$10)</f>
        <v>December-25</v>
      </c>
      <c r="O1" s="24" t="s">
        <v>10</v>
      </c>
    </row>
    <row r="2">
      <c r="A2" s="40" t="s">
        <v>150</v>
      </c>
      <c r="E2" s="98">
        <v>-18640.0</v>
      </c>
      <c r="F2" s="98">
        <v>-25000.0</v>
      </c>
      <c r="G2" s="98">
        <v>-25000.0</v>
      </c>
      <c r="H2" s="98">
        <v>-35000.0</v>
      </c>
      <c r="I2" s="98">
        <v>-35000.0</v>
      </c>
      <c r="J2" s="98">
        <v>-45000.0</v>
      </c>
      <c r="K2" s="98">
        <v>-45000.0</v>
      </c>
      <c r="L2" s="98">
        <v>-45000.0</v>
      </c>
      <c r="M2" s="98">
        <v>-45000.0</v>
      </c>
      <c r="O2" s="137">
        <f t="shared" ref="O2:O3" si="1">SUM(B2:M2)</f>
        <v>-318640</v>
      </c>
    </row>
    <row r="3">
      <c r="A3" s="40" t="s">
        <v>151</v>
      </c>
      <c r="E3" s="98">
        <v>-18640.0</v>
      </c>
      <c r="F3" s="98">
        <v>-25000.0</v>
      </c>
      <c r="G3" s="98">
        <v>-25000.0</v>
      </c>
      <c r="O3" s="137">
        <f t="shared" si="1"/>
        <v>-68640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4">
      <c r="A4" s="179" t="s">
        <v>154</v>
      </c>
      <c r="B4" s="180" t="str">
        <f>'Opsætning2025'!B$10</f>
        <v>januar-25</v>
      </c>
      <c r="C4" s="180" t="str">
        <f>'Opsætning2025'!C$10</f>
        <v>februar-25</v>
      </c>
      <c r="D4" s="180" t="str">
        <f>'Opsætning2025'!D$10</f>
        <v>marts-25</v>
      </c>
      <c r="E4" s="180" t="str">
        <f>'Opsætning2025'!E$10</f>
        <v>april-25</v>
      </c>
      <c r="F4" s="180" t="str">
        <f>'Opsætning2025'!F$10</f>
        <v>maj-25</v>
      </c>
      <c r="G4" s="180" t="str">
        <f>'Opsætning2025'!G$10</f>
        <v>juni-25</v>
      </c>
      <c r="H4" s="180" t="str">
        <f>'Opsætning2025'!H$10</f>
        <v>juli-25</v>
      </c>
      <c r="I4" s="180" t="str">
        <f>'Opsætning2025'!I$10</f>
        <v>august-25</v>
      </c>
      <c r="J4" s="180" t="str">
        <f>'Opsætning2025'!J$10</f>
        <v>september-25</v>
      </c>
      <c r="K4" s="180" t="str">
        <f>'Opsætning2025'!K$10</f>
        <v>oktober-25</v>
      </c>
      <c r="L4" s="180" t="str">
        <f>'Opsætning2025'!L$10</f>
        <v>november-25</v>
      </c>
      <c r="M4" s="180" t="str">
        <f>'Opsætning2025'!M$10</f>
        <v>december-25</v>
      </c>
    </row>
    <row r="5">
      <c r="A5" s="181" t="s">
        <v>155</v>
      </c>
      <c r="B5" s="182">
        <f>'Opsætning2025'!B$13</f>
        <v>0</v>
      </c>
      <c r="C5" s="182">
        <f>'Opsætning2025'!C$13</f>
        <v>0</v>
      </c>
      <c r="D5" s="182">
        <f>'Opsætning2025'!D$13</f>
        <v>2</v>
      </c>
      <c r="E5" s="182">
        <f>'Opsætning2025'!E$13</f>
        <v>4</v>
      </c>
      <c r="F5" s="182">
        <f>'Opsætning2025'!F$13</f>
        <v>4</v>
      </c>
      <c r="G5" s="182">
        <f>'Opsætning2025'!G$13</f>
        <v>4</v>
      </c>
      <c r="H5" s="182">
        <f>'Opsætning2025'!H$13</f>
        <v>4</v>
      </c>
      <c r="I5" s="182">
        <f>'Opsætning2025'!I$13</f>
        <v>20</v>
      </c>
      <c r="J5" s="182">
        <f>'Opsætning2025'!J$13</f>
        <v>20</v>
      </c>
      <c r="K5" s="182">
        <f>'Opsætning2025'!K$13</f>
        <v>20</v>
      </c>
      <c r="L5" s="182">
        <f>'Opsætning2025'!L$13</f>
        <v>20</v>
      </c>
      <c r="M5" s="182">
        <f>'Opsætning2025'!M$13</f>
        <v>20</v>
      </c>
    </row>
    <row r="6">
      <c r="A6" s="181" t="s">
        <v>156</v>
      </c>
      <c r="B6" s="182" t="str">
        <f t="shared" ref="B6:M6" si="1">B5*#REF!</f>
        <v>#REF!</v>
      </c>
      <c r="C6" s="182" t="str">
        <f t="shared" si="1"/>
        <v>#REF!</v>
      </c>
      <c r="D6" s="182" t="str">
        <f t="shared" si="1"/>
        <v>#REF!</v>
      </c>
      <c r="E6" s="182" t="str">
        <f t="shared" si="1"/>
        <v>#REF!</v>
      </c>
      <c r="F6" s="182" t="str">
        <f t="shared" si="1"/>
        <v>#REF!</v>
      </c>
      <c r="G6" s="182" t="str">
        <f t="shared" si="1"/>
        <v>#REF!</v>
      </c>
      <c r="H6" s="182" t="str">
        <f t="shared" si="1"/>
        <v>#REF!</v>
      </c>
      <c r="I6" s="182" t="str">
        <f t="shared" si="1"/>
        <v>#REF!</v>
      </c>
      <c r="J6" s="182" t="str">
        <f t="shared" si="1"/>
        <v>#REF!</v>
      </c>
      <c r="K6" s="182" t="str">
        <f t="shared" si="1"/>
        <v>#REF!</v>
      </c>
      <c r="L6" s="182" t="str">
        <f t="shared" si="1"/>
        <v>#REF!</v>
      </c>
      <c r="M6" s="182" t="str">
        <f t="shared" si="1"/>
        <v>#REF!</v>
      </c>
    </row>
    <row r="7">
      <c r="A7" s="181" t="s">
        <v>157</v>
      </c>
      <c r="B7" s="182" t="str">
        <f t="shared" ref="B7:M7" si="2">B5*#REF!</f>
        <v>#REF!</v>
      </c>
      <c r="C7" s="182" t="str">
        <f t="shared" si="2"/>
        <v>#REF!</v>
      </c>
      <c r="D7" s="182" t="str">
        <f t="shared" si="2"/>
        <v>#REF!</v>
      </c>
      <c r="E7" s="182" t="str">
        <f t="shared" si="2"/>
        <v>#REF!</v>
      </c>
      <c r="F7" s="182" t="str">
        <f t="shared" si="2"/>
        <v>#REF!</v>
      </c>
      <c r="G7" s="182" t="str">
        <f t="shared" si="2"/>
        <v>#REF!</v>
      </c>
      <c r="H7" s="182" t="str">
        <f t="shared" si="2"/>
        <v>#REF!</v>
      </c>
      <c r="I7" s="182" t="str">
        <f t="shared" si="2"/>
        <v>#REF!</v>
      </c>
      <c r="J7" s="182" t="str">
        <f t="shared" si="2"/>
        <v>#REF!</v>
      </c>
      <c r="K7" s="182" t="str">
        <f t="shared" si="2"/>
        <v>#REF!</v>
      </c>
      <c r="L7" s="182" t="str">
        <f t="shared" si="2"/>
        <v>#REF!</v>
      </c>
      <c r="M7" s="182" t="str">
        <f t="shared" si="2"/>
        <v>#REF!</v>
      </c>
    </row>
    <row r="8">
      <c r="A8" s="40" t="s">
        <v>158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